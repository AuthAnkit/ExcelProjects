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zi\Downloads\"/>
    </mc:Choice>
  </mc:AlternateContent>
  <xr:revisionPtr revIDLastSave="0" documentId="13_ncr:1_{A6818142-2E84-47A1-9DC1-5E07E0E1AF4A}" xr6:coauthVersionLast="47" xr6:coauthVersionMax="47" xr10:uidLastSave="{00000000-0000-0000-0000-000000000000}"/>
  <bookViews>
    <workbookView xWindow="-108" yWindow="-108" windowWidth="23256" windowHeight="13176" xr2:uid="{59F49DAC-B5C5-4113-A1E5-B0CFD2B04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3" i="1" l="1"/>
  <c r="AD26" i="1"/>
  <c r="AD28" i="1"/>
  <c r="AD27" i="1"/>
  <c r="AD25" i="1"/>
  <c r="AB26" i="1"/>
  <c r="AB27" i="1"/>
  <c r="AB28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3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C28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X13" i="1"/>
  <c r="Y13" i="1"/>
  <c r="Z13" i="1"/>
  <c r="AA13" i="1"/>
  <c r="AB13" i="1"/>
  <c r="X14" i="1"/>
  <c r="Y14" i="1"/>
  <c r="Z14" i="1"/>
  <c r="AA14" i="1"/>
  <c r="AB14" i="1"/>
  <c r="X15" i="1"/>
  <c r="Y15" i="1"/>
  <c r="Z15" i="1"/>
  <c r="AA15" i="1"/>
  <c r="AB15" i="1"/>
  <c r="X16" i="1"/>
  <c r="Y16" i="1"/>
  <c r="Z16" i="1"/>
  <c r="AA16" i="1"/>
  <c r="AB16" i="1"/>
  <c r="X17" i="1"/>
  <c r="Y17" i="1"/>
  <c r="Z17" i="1"/>
  <c r="AA17" i="1"/>
  <c r="AB17" i="1"/>
  <c r="X18" i="1"/>
  <c r="Y18" i="1"/>
  <c r="Z18" i="1"/>
  <c r="AA18" i="1"/>
  <c r="AB18" i="1"/>
  <c r="X19" i="1"/>
  <c r="Y19" i="1"/>
  <c r="Z19" i="1"/>
  <c r="AA19" i="1"/>
  <c r="AB19" i="1"/>
  <c r="X20" i="1"/>
  <c r="Y20" i="1"/>
  <c r="Z20" i="1"/>
  <c r="AA20" i="1"/>
  <c r="AB20" i="1"/>
  <c r="X21" i="1"/>
  <c r="Y21" i="1"/>
  <c r="Z21" i="1"/>
  <c r="AA21" i="1"/>
  <c r="AB21" i="1"/>
  <c r="X22" i="1"/>
  <c r="Y22" i="1"/>
  <c r="Z22" i="1"/>
  <c r="AA22" i="1"/>
  <c r="AB22" i="1"/>
  <c r="X23" i="1"/>
  <c r="Y23" i="1"/>
  <c r="Z23" i="1"/>
  <c r="AA23" i="1"/>
  <c r="AB23" i="1"/>
  <c r="Y4" i="1"/>
  <c r="Z4" i="1"/>
  <c r="AA4" i="1"/>
  <c r="AB4" i="1"/>
  <c r="X4" i="1"/>
  <c r="Z3" i="1"/>
  <c r="AA3" i="1" s="1"/>
  <c r="AB3" i="1" s="1"/>
  <c r="Y3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4" i="1"/>
  <c r="U3" i="1"/>
  <c r="V3" i="1"/>
  <c r="W3" i="1"/>
  <c r="T3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O3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J3" i="1"/>
  <c r="K3" i="1" s="1"/>
  <c r="L3" i="1" s="1"/>
  <c r="M3" i="1" s="1"/>
  <c r="E3" i="1"/>
  <c r="F3" i="1" s="1"/>
  <c r="G3" i="1" s="1"/>
  <c r="H3" i="1" s="1"/>
  <c r="I4" i="1"/>
  <c r="C27" i="1"/>
  <c r="C25" i="1"/>
  <c r="C26" i="1"/>
  <c r="N4" i="1"/>
  <c r="Q3" i="1" l="1"/>
  <c r="P3" i="1"/>
  <c r="R3" i="1"/>
</calcChain>
</file>

<file path=xl/sharedStrings.xml><?xml version="1.0" encoding="utf-8"?>
<sst xmlns="http://schemas.openxmlformats.org/spreadsheetml/2006/main" count="54" uniqueCount="54">
  <si>
    <t>Employee Payroll</t>
  </si>
  <si>
    <t xml:space="preserve">First Name </t>
  </si>
  <si>
    <t>Last Name</t>
  </si>
  <si>
    <t>Hourly Wage</t>
  </si>
  <si>
    <t>House Worked</t>
  </si>
  <si>
    <t>Pay</t>
  </si>
  <si>
    <t>Aarav</t>
  </si>
  <si>
    <t>Vivaan</t>
  </si>
  <si>
    <t>Aditya</t>
  </si>
  <si>
    <t>Arjun</t>
  </si>
  <si>
    <t>Rohan</t>
  </si>
  <si>
    <t>Rahul</t>
  </si>
  <si>
    <t>Karan</t>
  </si>
  <si>
    <t>Akash</t>
  </si>
  <si>
    <t>Yash</t>
  </si>
  <si>
    <t>Aryan</t>
  </si>
  <si>
    <t>Kabir</t>
  </si>
  <si>
    <t>Ritvik</t>
  </si>
  <si>
    <t>Dev</t>
  </si>
  <si>
    <t>Manav</t>
  </si>
  <si>
    <t>Nikhil</t>
  </si>
  <si>
    <t>Varun</t>
  </si>
  <si>
    <t>Ankit</t>
  </si>
  <si>
    <t>Harsh</t>
  </si>
  <si>
    <t>Raj</t>
  </si>
  <si>
    <t>Sahil</t>
  </si>
  <si>
    <t>Sharma</t>
  </si>
  <si>
    <t>Patel</t>
  </si>
  <si>
    <t>Singh</t>
  </si>
  <si>
    <t>Kumar</t>
  </si>
  <si>
    <t>Verma</t>
  </si>
  <si>
    <t>Mehta</t>
  </si>
  <si>
    <t>Shah</t>
  </si>
  <si>
    <t>Joshi</t>
  </si>
  <si>
    <t>Mishra</t>
  </si>
  <si>
    <t>Gupta</t>
  </si>
  <si>
    <t>Malhotra</t>
  </si>
  <si>
    <t>Kapoor</t>
  </si>
  <si>
    <t>Reddy</t>
  </si>
  <si>
    <t>Iyer</t>
  </si>
  <si>
    <t>Nair</t>
  </si>
  <si>
    <t>Chauhan</t>
  </si>
  <si>
    <t>Yadav</t>
  </si>
  <si>
    <t>Pandey</t>
  </si>
  <si>
    <t>Saxena</t>
  </si>
  <si>
    <t>Agarwal</t>
  </si>
  <si>
    <t>MAX</t>
  </si>
  <si>
    <t>MIN</t>
  </si>
  <si>
    <t>AVG</t>
  </si>
  <si>
    <t>TOTAL</t>
  </si>
  <si>
    <t>OverTime</t>
  </si>
  <si>
    <t>Total</t>
  </si>
  <si>
    <t>OverTime Bonus</t>
  </si>
  <si>
    <t>Jan-FullPay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</si>
</sst>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2" fillId="0" borderId="0" xfId="0" applyNumberFormat="1" applyFont="1"/>
    <xf numFmtId="16" fontId="3" fillId="2" borderId="0" xfId="0" applyNumberFormat="1" applyFont="1" applyFill="1"/>
    <xf numFmtId="0" fontId="2" fillId="2" borderId="0" xfId="0" applyFont="1" applyFill="1"/>
    <xf numFmtId="16" fontId="3" fillId="3" borderId="0" xfId="0" applyNumberFormat="1" applyFont="1" applyFill="1"/>
    <xf numFmtId="0" fontId="2" fillId="3" borderId="0" xfId="0" applyFont="1" applyFill="1"/>
    <xf numFmtId="14" fontId="3" fillId="4" borderId="0" xfId="0" applyNumberFormat="1" applyFont="1" applyFill="1"/>
    <xf numFmtId="164" fontId="2" fillId="4" borderId="0" xfId="0" applyNumberFormat="1" applyFont="1" applyFill="1"/>
    <xf numFmtId="14" fontId="3" fillId="5" borderId="0" xfId="0" applyNumberFormat="1" applyFont="1" applyFill="1" applyAlignment="1">
      <alignment horizontal="right"/>
    </xf>
    <xf numFmtId="164" fontId="2" fillId="5" borderId="0" xfId="0" applyNumberFormat="1" applyFont="1" applyFill="1"/>
    <xf numFmtId="14" fontId="3" fillId="6" borderId="0" xfId="0" applyNumberFormat="1" applyFont="1" applyFill="1"/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0304-7FA3-4F46-9172-4460A396DFEC}">
  <dimension ref="A1:AD28"/>
  <sheetViews>
    <sheetView tabSelected="1" topLeftCell="T1" zoomScale="96" zoomScaleNormal="96" workbookViewId="0">
      <selection activeCell="AE13" sqref="AE13"/>
    </sheetView>
  </sheetViews>
  <sheetFormatPr defaultRowHeight="13.8" x14ac:dyDescent="0.25"/>
  <cols>
    <col min="1" max="1" width="30.77734375" style="2" customWidth="1"/>
    <col min="2" max="2" width="18.21875" style="2" customWidth="1"/>
    <col min="3" max="3" width="26" style="2" customWidth="1"/>
    <col min="4" max="4" width="13.88671875" style="2" customWidth="1"/>
    <col min="5" max="8" width="11" style="2" customWidth="1"/>
    <col min="9" max="9" width="12.33203125" style="2" customWidth="1"/>
    <col min="10" max="10" width="10.88671875" style="2" customWidth="1"/>
    <col min="11" max="12" width="8.44140625" style="2" customWidth="1"/>
    <col min="13" max="13" width="11.5546875" style="2" customWidth="1"/>
    <col min="14" max="18" width="15.5546875" style="2" customWidth="1"/>
    <col min="19" max="19" width="12.5546875" style="2" customWidth="1"/>
    <col min="20" max="20" width="17.109375" style="2" customWidth="1"/>
    <col min="21" max="21" width="13" style="2" customWidth="1"/>
    <col min="22" max="22" width="12.109375" style="2" customWidth="1"/>
    <col min="23" max="23" width="11.77734375" style="2" customWidth="1"/>
    <col min="24" max="24" width="25.109375" style="2" customWidth="1"/>
    <col min="25" max="25" width="15.5546875" style="2" customWidth="1"/>
    <col min="26" max="26" width="16.88671875" style="2" customWidth="1"/>
    <col min="27" max="27" width="15.6640625" style="2" customWidth="1"/>
    <col min="28" max="28" width="19.5546875" style="2" customWidth="1"/>
    <col min="29" max="29" width="8.88671875" style="2"/>
    <col min="30" max="30" width="16.21875" style="2" customWidth="1"/>
    <col min="31" max="16384" width="8.88671875" style="2"/>
  </cols>
  <sheetData>
    <row r="1" spans="1:30" ht="17.399999999999999" x14ac:dyDescent="0.3">
      <c r="A1" s="1" t="s">
        <v>0</v>
      </c>
    </row>
    <row r="2" spans="1:30" x14ac:dyDescent="0.25">
      <c r="D2" s="3" t="s">
        <v>4</v>
      </c>
      <c r="E2" s="3"/>
      <c r="F2" s="3"/>
      <c r="G2" s="3"/>
      <c r="H2" s="3"/>
      <c r="I2" s="3" t="s">
        <v>50</v>
      </c>
      <c r="J2" s="3"/>
      <c r="K2" s="3"/>
      <c r="L2" s="3"/>
      <c r="M2" s="3"/>
      <c r="N2" s="4" t="s">
        <v>5</v>
      </c>
      <c r="O2" s="4"/>
      <c r="P2" s="4"/>
      <c r="Q2" s="4"/>
      <c r="R2" s="4"/>
      <c r="S2" s="2" t="s">
        <v>52</v>
      </c>
      <c r="X2" s="4" t="s">
        <v>51</v>
      </c>
      <c r="AD2" s="3" t="s">
        <v>53</v>
      </c>
    </row>
    <row r="3" spans="1:30" x14ac:dyDescent="0.25">
      <c r="A3" s="3" t="s">
        <v>1</v>
      </c>
      <c r="B3" s="3" t="s">
        <v>2</v>
      </c>
      <c r="C3" s="3" t="s">
        <v>3</v>
      </c>
      <c r="D3" s="6">
        <v>46023</v>
      </c>
      <c r="E3" s="6">
        <f>SUM(D3+7)</f>
        <v>46030</v>
      </c>
      <c r="F3" s="6">
        <f t="shared" ref="F3:H3" si="0">SUM(E3+7)</f>
        <v>46037</v>
      </c>
      <c r="G3" s="6">
        <f t="shared" si="0"/>
        <v>46044</v>
      </c>
      <c r="H3" s="6">
        <f t="shared" si="0"/>
        <v>46051</v>
      </c>
      <c r="I3" s="8">
        <v>46023</v>
      </c>
      <c r="J3" s="8">
        <f>SUM(I3+7)</f>
        <v>46030</v>
      </c>
      <c r="K3" s="8">
        <f t="shared" ref="K3:L3" si="1">SUM(J3+7)</f>
        <v>46037</v>
      </c>
      <c r="L3" s="8">
        <f t="shared" si="1"/>
        <v>46044</v>
      </c>
      <c r="M3" s="8">
        <f>SUM(L3+7)</f>
        <v>46051</v>
      </c>
      <c r="N3" s="10">
        <v>46023</v>
      </c>
      <c r="O3" s="10">
        <f>SUM(I3+7)</f>
        <v>46030</v>
      </c>
      <c r="P3" s="10">
        <f t="shared" ref="P3:Q3" si="2">SUM(J3+7)</f>
        <v>46037</v>
      </c>
      <c r="Q3" s="10">
        <f t="shared" si="2"/>
        <v>46044</v>
      </c>
      <c r="R3" s="10">
        <f>SUM(L3+7)</f>
        <v>46051</v>
      </c>
      <c r="S3" s="12">
        <v>46023</v>
      </c>
      <c r="T3" s="12">
        <f>SUM(S3+7)</f>
        <v>46030</v>
      </c>
      <c r="U3" s="12">
        <f t="shared" ref="U3:W3" si="3">SUM(T3+7)</f>
        <v>46037</v>
      </c>
      <c r="V3" s="12">
        <f t="shared" si="3"/>
        <v>46044</v>
      </c>
      <c r="W3" s="12">
        <f t="shared" si="3"/>
        <v>46051</v>
      </c>
      <c r="X3" s="14">
        <v>46023</v>
      </c>
      <c r="Y3" s="14">
        <f>SUM(X3+7)</f>
        <v>46030</v>
      </c>
      <c r="Z3" s="14">
        <f t="shared" ref="Z3:AB3" si="4">SUM(Y3+7)</f>
        <v>46037</v>
      </c>
      <c r="AA3" s="14">
        <f t="shared" si="4"/>
        <v>46044</v>
      </c>
      <c r="AB3" s="14">
        <f t="shared" si="4"/>
        <v>46051</v>
      </c>
      <c r="AD3" s="17">
        <f>SUM(X4:AB4)</f>
        <v>57000</v>
      </c>
    </row>
    <row r="4" spans="1:30" x14ac:dyDescent="0.25">
      <c r="A4" s="2" t="s">
        <v>6</v>
      </c>
      <c r="B4" s="2" t="s">
        <v>26</v>
      </c>
      <c r="C4" s="5">
        <v>250</v>
      </c>
      <c r="D4" s="7">
        <v>40</v>
      </c>
      <c r="E4" s="7">
        <v>42</v>
      </c>
      <c r="F4" s="7">
        <v>43</v>
      </c>
      <c r="G4" s="7">
        <v>55</v>
      </c>
      <c r="H4" s="7">
        <v>38</v>
      </c>
      <c r="I4" s="9">
        <f>IF(D4&gt;40,D4-40,0)</f>
        <v>0</v>
      </c>
      <c r="J4" s="9">
        <f>IF(E4&gt;40,E4-40,0)</f>
        <v>2</v>
      </c>
      <c r="K4" s="9">
        <f>IF(F4&gt;40,F4-40,0)</f>
        <v>3</v>
      </c>
      <c r="L4" s="9">
        <f>IF(G4&gt;40,G4-40,0)</f>
        <v>15</v>
      </c>
      <c r="M4" s="9">
        <f>IF(H4&gt;40,H4-40,0)</f>
        <v>0</v>
      </c>
      <c r="N4" s="11">
        <f>C4*D4</f>
        <v>10000</v>
      </c>
      <c r="O4" s="11">
        <f>$C4*E4</f>
        <v>10500</v>
      </c>
      <c r="P4" s="11">
        <f>$C4*F4</f>
        <v>10750</v>
      </c>
      <c r="Q4" s="11">
        <f>$C4*G4</f>
        <v>13750</v>
      </c>
      <c r="R4" s="11">
        <f>$C4*H4</f>
        <v>9500</v>
      </c>
      <c r="S4" s="13">
        <f>0.5*$C4*I4</f>
        <v>0</v>
      </c>
      <c r="T4" s="13">
        <f>0.5*$C4*J4</f>
        <v>250</v>
      </c>
      <c r="U4" s="13">
        <f>0.5*$C4*K4</f>
        <v>375</v>
      </c>
      <c r="V4" s="13">
        <f>0.5*$C4*L4</f>
        <v>1875</v>
      </c>
      <c r="W4" s="13">
        <f>0.5*$C4*M4</f>
        <v>0</v>
      </c>
      <c r="X4" s="15">
        <f>SUM(S4,N4)</f>
        <v>10000</v>
      </c>
      <c r="Y4" s="15">
        <f t="shared" ref="Y4:AB4" si="5">SUM(T4,O4)</f>
        <v>10750</v>
      </c>
      <c r="Z4" s="15">
        <f t="shared" si="5"/>
        <v>11125</v>
      </c>
      <c r="AA4" s="15">
        <f t="shared" si="5"/>
        <v>15625</v>
      </c>
      <c r="AB4" s="15">
        <f t="shared" si="5"/>
        <v>9500</v>
      </c>
      <c r="AD4" s="17">
        <f t="shared" ref="AD4:AD23" si="6">SUM(X5:AB5)</f>
        <v>82050</v>
      </c>
    </row>
    <row r="5" spans="1:30" x14ac:dyDescent="0.25">
      <c r="A5" s="2" t="s">
        <v>7</v>
      </c>
      <c r="B5" s="2" t="s">
        <v>27</v>
      </c>
      <c r="C5" s="5">
        <v>300</v>
      </c>
      <c r="D5" s="7">
        <v>42</v>
      </c>
      <c r="E5" s="7">
        <v>56</v>
      </c>
      <c r="F5" s="7">
        <v>57</v>
      </c>
      <c r="G5" s="7">
        <v>40</v>
      </c>
      <c r="H5" s="7">
        <v>54</v>
      </c>
      <c r="I5" s="9">
        <f t="shared" ref="I5:M23" si="7">IF(D5&gt;40,D5-40,0)</f>
        <v>2</v>
      </c>
      <c r="J5" s="9">
        <f t="shared" si="7"/>
        <v>16</v>
      </c>
      <c r="K5" s="9">
        <f t="shared" si="7"/>
        <v>17</v>
      </c>
      <c r="L5" s="9">
        <f t="shared" si="7"/>
        <v>0</v>
      </c>
      <c r="M5" s="9">
        <f t="shared" si="7"/>
        <v>14</v>
      </c>
      <c r="N5" s="11">
        <f t="shared" ref="N5:R23" si="8">C5*D5</f>
        <v>12600</v>
      </c>
      <c r="O5" s="11">
        <f t="shared" ref="O5:R23" si="9">$C5*E5</f>
        <v>16800</v>
      </c>
      <c r="P5" s="11">
        <f t="shared" si="9"/>
        <v>17100</v>
      </c>
      <c r="Q5" s="11">
        <f t="shared" si="9"/>
        <v>12000</v>
      </c>
      <c r="R5" s="11">
        <f t="shared" si="9"/>
        <v>16200</v>
      </c>
      <c r="S5" s="13">
        <f t="shared" ref="S5:W23" si="10">0.5*$C5*I5</f>
        <v>300</v>
      </c>
      <c r="T5" s="13">
        <f t="shared" si="10"/>
        <v>2400</v>
      </c>
      <c r="U5" s="13">
        <f t="shared" si="10"/>
        <v>2550</v>
      </c>
      <c r="V5" s="13">
        <f t="shared" si="10"/>
        <v>0</v>
      </c>
      <c r="W5" s="13">
        <f t="shared" si="10"/>
        <v>2100</v>
      </c>
      <c r="X5" s="15">
        <f t="shared" ref="X5:X23" si="11">SUM(S5,N5)</f>
        <v>12900</v>
      </c>
      <c r="Y5" s="15">
        <f t="shared" ref="Y5:Y23" si="12">SUM(T5,O5)</f>
        <v>19200</v>
      </c>
      <c r="Z5" s="15">
        <f t="shared" ref="Z5:Z23" si="13">SUM(U5,P5)</f>
        <v>19650</v>
      </c>
      <c r="AA5" s="15">
        <f t="shared" ref="AA5:AA23" si="14">SUM(V5,Q5)</f>
        <v>12000</v>
      </c>
      <c r="AB5" s="15">
        <f t="shared" ref="AB5:AB23" si="15">SUM(W5,R5)</f>
        <v>18300</v>
      </c>
      <c r="AD5" s="17">
        <f t="shared" si="6"/>
        <v>64487.5</v>
      </c>
    </row>
    <row r="6" spans="1:30" x14ac:dyDescent="0.25">
      <c r="A6" s="2" t="s">
        <v>8</v>
      </c>
      <c r="B6" s="2" t="s">
        <v>28</v>
      </c>
      <c r="C6" s="5">
        <v>275</v>
      </c>
      <c r="D6" s="7">
        <v>42</v>
      </c>
      <c r="E6" s="7">
        <v>38</v>
      </c>
      <c r="F6" s="7">
        <v>36</v>
      </c>
      <c r="G6" s="7">
        <v>58</v>
      </c>
      <c r="H6" s="7">
        <v>47</v>
      </c>
      <c r="I6" s="9">
        <f t="shared" si="7"/>
        <v>2</v>
      </c>
      <c r="J6" s="9">
        <f t="shared" si="7"/>
        <v>0</v>
      </c>
      <c r="K6" s="9">
        <f t="shared" si="7"/>
        <v>0</v>
      </c>
      <c r="L6" s="9">
        <f t="shared" si="7"/>
        <v>18</v>
      </c>
      <c r="M6" s="9">
        <f t="shared" si="7"/>
        <v>7</v>
      </c>
      <c r="N6" s="11">
        <f t="shared" si="8"/>
        <v>11550</v>
      </c>
      <c r="O6" s="11">
        <f t="shared" si="9"/>
        <v>10450</v>
      </c>
      <c r="P6" s="11">
        <f t="shared" si="9"/>
        <v>9900</v>
      </c>
      <c r="Q6" s="11">
        <f t="shared" si="9"/>
        <v>15950</v>
      </c>
      <c r="R6" s="11">
        <f t="shared" si="9"/>
        <v>12925</v>
      </c>
      <c r="S6" s="13">
        <f t="shared" si="10"/>
        <v>275</v>
      </c>
      <c r="T6" s="13">
        <f t="shared" si="10"/>
        <v>0</v>
      </c>
      <c r="U6" s="13">
        <f t="shared" si="10"/>
        <v>0</v>
      </c>
      <c r="V6" s="13">
        <f t="shared" si="10"/>
        <v>2475</v>
      </c>
      <c r="W6" s="13">
        <f t="shared" si="10"/>
        <v>962.5</v>
      </c>
      <c r="X6" s="15">
        <f t="shared" si="11"/>
        <v>11825</v>
      </c>
      <c r="Y6" s="15">
        <f t="shared" si="12"/>
        <v>10450</v>
      </c>
      <c r="Z6" s="15">
        <f t="shared" si="13"/>
        <v>9900</v>
      </c>
      <c r="AA6" s="15">
        <f t="shared" si="14"/>
        <v>18425</v>
      </c>
      <c r="AB6" s="15">
        <f t="shared" si="15"/>
        <v>13887.5</v>
      </c>
      <c r="AD6" s="17">
        <f t="shared" si="6"/>
        <v>77875</v>
      </c>
    </row>
    <row r="7" spans="1:30" x14ac:dyDescent="0.25">
      <c r="A7" s="2" t="s">
        <v>9</v>
      </c>
      <c r="B7" s="2" t="s">
        <v>29</v>
      </c>
      <c r="C7" s="5">
        <v>350</v>
      </c>
      <c r="D7" s="7">
        <v>40</v>
      </c>
      <c r="E7" s="7">
        <v>47</v>
      </c>
      <c r="F7" s="7">
        <v>49</v>
      </c>
      <c r="G7" s="7">
        <v>37</v>
      </c>
      <c r="H7" s="7">
        <v>41</v>
      </c>
      <c r="I7" s="9">
        <f t="shared" si="7"/>
        <v>0</v>
      </c>
      <c r="J7" s="9">
        <f t="shared" si="7"/>
        <v>7</v>
      </c>
      <c r="K7" s="9">
        <f t="shared" si="7"/>
        <v>9</v>
      </c>
      <c r="L7" s="9">
        <f t="shared" si="7"/>
        <v>0</v>
      </c>
      <c r="M7" s="9">
        <f t="shared" si="7"/>
        <v>1</v>
      </c>
      <c r="N7" s="11">
        <f t="shared" si="8"/>
        <v>14000</v>
      </c>
      <c r="O7" s="11">
        <f t="shared" si="9"/>
        <v>16450</v>
      </c>
      <c r="P7" s="11">
        <f t="shared" si="9"/>
        <v>17150</v>
      </c>
      <c r="Q7" s="11">
        <f t="shared" si="9"/>
        <v>12950</v>
      </c>
      <c r="R7" s="11">
        <f t="shared" si="9"/>
        <v>14350</v>
      </c>
      <c r="S7" s="13">
        <f t="shared" si="10"/>
        <v>0</v>
      </c>
      <c r="T7" s="13">
        <f t="shared" si="10"/>
        <v>1225</v>
      </c>
      <c r="U7" s="13">
        <f t="shared" si="10"/>
        <v>1575</v>
      </c>
      <c r="V7" s="13">
        <f t="shared" si="10"/>
        <v>0</v>
      </c>
      <c r="W7" s="13">
        <f t="shared" si="10"/>
        <v>175</v>
      </c>
      <c r="X7" s="15">
        <f t="shared" si="11"/>
        <v>14000</v>
      </c>
      <c r="Y7" s="15">
        <f t="shared" si="12"/>
        <v>17675</v>
      </c>
      <c r="Z7" s="15">
        <f t="shared" si="13"/>
        <v>18725</v>
      </c>
      <c r="AA7" s="15">
        <f t="shared" si="14"/>
        <v>12950</v>
      </c>
      <c r="AB7" s="15">
        <f t="shared" si="15"/>
        <v>14525</v>
      </c>
      <c r="AD7" s="17">
        <f t="shared" si="6"/>
        <v>111600</v>
      </c>
    </row>
    <row r="8" spans="1:30" x14ac:dyDescent="0.25">
      <c r="A8" s="2" t="s">
        <v>10</v>
      </c>
      <c r="B8" s="2" t="s">
        <v>30</v>
      </c>
      <c r="C8" s="5">
        <v>400</v>
      </c>
      <c r="D8" s="7">
        <v>35</v>
      </c>
      <c r="E8" s="7">
        <v>60</v>
      </c>
      <c r="F8" s="7">
        <v>54</v>
      </c>
      <c r="G8" s="7">
        <v>46</v>
      </c>
      <c r="H8" s="7">
        <v>56</v>
      </c>
      <c r="I8" s="9">
        <f t="shared" si="7"/>
        <v>0</v>
      </c>
      <c r="J8" s="9">
        <f t="shared" si="7"/>
        <v>20</v>
      </c>
      <c r="K8" s="9">
        <f t="shared" si="7"/>
        <v>14</v>
      </c>
      <c r="L8" s="9">
        <f t="shared" si="7"/>
        <v>6</v>
      </c>
      <c r="M8" s="9">
        <f t="shared" si="7"/>
        <v>16</v>
      </c>
      <c r="N8" s="11">
        <f t="shared" si="8"/>
        <v>14000</v>
      </c>
      <c r="O8" s="11">
        <f t="shared" si="9"/>
        <v>24000</v>
      </c>
      <c r="P8" s="11">
        <f t="shared" si="9"/>
        <v>21600</v>
      </c>
      <c r="Q8" s="11">
        <f t="shared" si="9"/>
        <v>18400</v>
      </c>
      <c r="R8" s="11">
        <f t="shared" si="9"/>
        <v>22400</v>
      </c>
      <c r="S8" s="13">
        <f t="shared" si="10"/>
        <v>0</v>
      </c>
      <c r="T8" s="13">
        <f t="shared" si="10"/>
        <v>4000</v>
      </c>
      <c r="U8" s="13">
        <f t="shared" si="10"/>
        <v>2800</v>
      </c>
      <c r="V8" s="13">
        <f t="shared" si="10"/>
        <v>1200</v>
      </c>
      <c r="W8" s="13">
        <f t="shared" si="10"/>
        <v>3200</v>
      </c>
      <c r="X8" s="15">
        <f t="shared" si="11"/>
        <v>14000</v>
      </c>
      <c r="Y8" s="15">
        <f t="shared" si="12"/>
        <v>28000</v>
      </c>
      <c r="Z8" s="15">
        <f t="shared" si="13"/>
        <v>24400</v>
      </c>
      <c r="AA8" s="15">
        <f t="shared" si="14"/>
        <v>19600</v>
      </c>
      <c r="AB8" s="15">
        <f t="shared" si="15"/>
        <v>25600</v>
      </c>
      <c r="AD8" s="17">
        <f t="shared" si="6"/>
        <v>47137.5</v>
      </c>
    </row>
    <row r="9" spans="1:30" x14ac:dyDescent="0.25">
      <c r="A9" s="2" t="s">
        <v>11</v>
      </c>
      <c r="B9" s="2" t="s">
        <v>31</v>
      </c>
      <c r="C9" s="5">
        <v>225</v>
      </c>
      <c r="D9" s="7">
        <v>41</v>
      </c>
      <c r="E9" s="7">
        <v>35</v>
      </c>
      <c r="F9" s="7">
        <v>41</v>
      </c>
      <c r="G9" s="7">
        <v>51</v>
      </c>
      <c r="H9" s="7">
        <v>35</v>
      </c>
      <c r="I9" s="9">
        <f t="shared" si="7"/>
        <v>1</v>
      </c>
      <c r="J9" s="9">
        <f t="shared" si="7"/>
        <v>0</v>
      </c>
      <c r="K9" s="9">
        <f t="shared" si="7"/>
        <v>1</v>
      </c>
      <c r="L9" s="9">
        <f t="shared" si="7"/>
        <v>11</v>
      </c>
      <c r="M9" s="9">
        <f t="shared" si="7"/>
        <v>0</v>
      </c>
      <c r="N9" s="11">
        <f t="shared" si="8"/>
        <v>9225</v>
      </c>
      <c r="O9" s="11">
        <f t="shared" si="9"/>
        <v>7875</v>
      </c>
      <c r="P9" s="11">
        <f t="shared" si="9"/>
        <v>9225</v>
      </c>
      <c r="Q9" s="11">
        <f t="shared" si="9"/>
        <v>11475</v>
      </c>
      <c r="R9" s="11">
        <f t="shared" si="9"/>
        <v>7875</v>
      </c>
      <c r="S9" s="13">
        <f t="shared" si="10"/>
        <v>112.5</v>
      </c>
      <c r="T9" s="13">
        <f t="shared" si="10"/>
        <v>0</v>
      </c>
      <c r="U9" s="13">
        <f t="shared" si="10"/>
        <v>112.5</v>
      </c>
      <c r="V9" s="13">
        <f t="shared" si="10"/>
        <v>1237.5</v>
      </c>
      <c r="W9" s="13">
        <f t="shared" si="10"/>
        <v>0</v>
      </c>
      <c r="X9" s="15">
        <f t="shared" si="11"/>
        <v>9337.5</v>
      </c>
      <c r="Y9" s="15">
        <f t="shared" si="12"/>
        <v>7875</v>
      </c>
      <c r="Z9" s="15">
        <f t="shared" si="13"/>
        <v>9337.5</v>
      </c>
      <c r="AA9" s="15">
        <f t="shared" si="14"/>
        <v>12712.5</v>
      </c>
      <c r="AB9" s="15">
        <f t="shared" si="15"/>
        <v>7875</v>
      </c>
      <c r="AD9" s="17">
        <f t="shared" si="6"/>
        <v>83680</v>
      </c>
    </row>
    <row r="10" spans="1:30" x14ac:dyDescent="0.25">
      <c r="A10" s="2" t="s">
        <v>12</v>
      </c>
      <c r="B10" s="2" t="s">
        <v>32</v>
      </c>
      <c r="C10" s="5">
        <v>320</v>
      </c>
      <c r="D10" s="7">
        <v>37</v>
      </c>
      <c r="E10" s="7">
        <v>51</v>
      </c>
      <c r="F10" s="7">
        <v>60</v>
      </c>
      <c r="G10" s="7">
        <v>43</v>
      </c>
      <c r="H10" s="7">
        <v>49</v>
      </c>
      <c r="I10" s="9">
        <f t="shared" si="7"/>
        <v>0</v>
      </c>
      <c r="J10" s="9">
        <f t="shared" si="7"/>
        <v>11</v>
      </c>
      <c r="K10" s="9">
        <f t="shared" si="7"/>
        <v>20</v>
      </c>
      <c r="L10" s="9">
        <f t="shared" si="7"/>
        <v>3</v>
      </c>
      <c r="M10" s="9">
        <f t="shared" si="7"/>
        <v>9</v>
      </c>
      <c r="N10" s="11">
        <f t="shared" si="8"/>
        <v>11840</v>
      </c>
      <c r="O10" s="11">
        <f t="shared" si="9"/>
        <v>16320</v>
      </c>
      <c r="P10" s="11">
        <f t="shared" si="9"/>
        <v>19200</v>
      </c>
      <c r="Q10" s="11">
        <f t="shared" si="9"/>
        <v>13760</v>
      </c>
      <c r="R10" s="11">
        <f t="shared" si="9"/>
        <v>15680</v>
      </c>
      <c r="S10" s="13">
        <f t="shared" si="10"/>
        <v>0</v>
      </c>
      <c r="T10" s="13">
        <f t="shared" si="10"/>
        <v>1760</v>
      </c>
      <c r="U10" s="13">
        <f t="shared" si="10"/>
        <v>3200</v>
      </c>
      <c r="V10" s="13">
        <f t="shared" si="10"/>
        <v>480</v>
      </c>
      <c r="W10" s="13">
        <f t="shared" si="10"/>
        <v>1440</v>
      </c>
      <c r="X10" s="15">
        <f t="shared" si="11"/>
        <v>11840</v>
      </c>
      <c r="Y10" s="15">
        <f t="shared" si="12"/>
        <v>18080</v>
      </c>
      <c r="Z10" s="15">
        <f t="shared" si="13"/>
        <v>22400</v>
      </c>
      <c r="AA10" s="15">
        <f t="shared" si="14"/>
        <v>14240</v>
      </c>
      <c r="AB10" s="15">
        <f t="shared" si="15"/>
        <v>17120</v>
      </c>
      <c r="AD10" s="17">
        <f t="shared" si="6"/>
        <v>75180</v>
      </c>
    </row>
    <row r="11" spans="1:30" x14ac:dyDescent="0.25">
      <c r="A11" s="2" t="s">
        <v>13</v>
      </c>
      <c r="B11" s="2" t="s">
        <v>33</v>
      </c>
      <c r="C11" s="5">
        <v>280</v>
      </c>
      <c r="D11" s="7">
        <v>43</v>
      </c>
      <c r="E11" s="7">
        <v>44</v>
      </c>
      <c r="F11" s="7">
        <v>38</v>
      </c>
      <c r="G11" s="7">
        <v>60</v>
      </c>
      <c r="H11" s="7">
        <v>60</v>
      </c>
      <c r="I11" s="9">
        <f t="shared" si="7"/>
        <v>3</v>
      </c>
      <c r="J11" s="9">
        <f t="shared" si="7"/>
        <v>4</v>
      </c>
      <c r="K11" s="9">
        <f t="shared" si="7"/>
        <v>0</v>
      </c>
      <c r="L11" s="9">
        <f t="shared" si="7"/>
        <v>20</v>
      </c>
      <c r="M11" s="9">
        <f t="shared" si="7"/>
        <v>20</v>
      </c>
      <c r="N11" s="11">
        <f t="shared" si="8"/>
        <v>12040</v>
      </c>
      <c r="O11" s="11">
        <f t="shared" si="9"/>
        <v>12320</v>
      </c>
      <c r="P11" s="11">
        <f t="shared" si="9"/>
        <v>10640</v>
      </c>
      <c r="Q11" s="11">
        <f t="shared" si="9"/>
        <v>16800</v>
      </c>
      <c r="R11" s="11">
        <f t="shared" si="9"/>
        <v>16800</v>
      </c>
      <c r="S11" s="13">
        <f t="shared" si="10"/>
        <v>420</v>
      </c>
      <c r="T11" s="13">
        <f t="shared" si="10"/>
        <v>560</v>
      </c>
      <c r="U11" s="13">
        <f t="shared" si="10"/>
        <v>0</v>
      </c>
      <c r="V11" s="13">
        <f t="shared" si="10"/>
        <v>2800</v>
      </c>
      <c r="W11" s="13">
        <f t="shared" si="10"/>
        <v>2800</v>
      </c>
      <c r="X11" s="15">
        <f t="shared" si="11"/>
        <v>12460</v>
      </c>
      <c r="Y11" s="15">
        <f t="shared" si="12"/>
        <v>12880</v>
      </c>
      <c r="Z11" s="15">
        <f t="shared" si="13"/>
        <v>10640</v>
      </c>
      <c r="AA11" s="15">
        <f t="shared" si="14"/>
        <v>19600</v>
      </c>
      <c r="AB11" s="15">
        <f t="shared" si="15"/>
        <v>19600</v>
      </c>
      <c r="AD11" s="17">
        <f t="shared" si="6"/>
        <v>108000</v>
      </c>
    </row>
    <row r="12" spans="1:30" x14ac:dyDescent="0.25">
      <c r="A12" s="2" t="s">
        <v>14</v>
      </c>
      <c r="B12" s="2" t="s">
        <v>34</v>
      </c>
      <c r="C12" s="5">
        <v>450</v>
      </c>
      <c r="D12" s="7">
        <v>34</v>
      </c>
      <c r="E12" s="7">
        <v>59</v>
      </c>
      <c r="F12" s="7">
        <v>52</v>
      </c>
      <c r="G12" s="7">
        <v>35</v>
      </c>
      <c r="H12" s="7">
        <v>43</v>
      </c>
      <c r="I12" s="9">
        <f t="shared" si="7"/>
        <v>0</v>
      </c>
      <c r="J12" s="9">
        <f t="shared" si="7"/>
        <v>19</v>
      </c>
      <c r="K12" s="9">
        <f t="shared" si="7"/>
        <v>12</v>
      </c>
      <c r="L12" s="9">
        <f t="shared" si="7"/>
        <v>0</v>
      </c>
      <c r="M12" s="9">
        <f t="shared" si="7"/>
        <v>3</v>
      </c>
      <c r="N12" s="11">
        <f t="shared" si="8"/>
        <v>15300</v>
      </c>
      <c r="O12" s="11">
        <f t="shared" si="9"/>
        <v>26550</v>
      </c>
      <c r="P12" s="11">
        <f t="shared" si="9"/>
        <v>23400</v>
      </c>
      <c r="Q12" s="11">
        <f t="shared" si="9"/>
        <v>15750</v>
      </c>
      <c r="R12" s="11">
        <f t="shared" si="9"/>
        <v>19350</v>
      </c>
      <c r="S12" s="13">
        <f t="shared" si="10"/>
        <v>0</v>
      </c>
      <c r="T12" s="13">
        <f t="shared" si="10"/>
        <v>4275</v>
      </c>
      <c r="U12" s="13">
        <f t="shared" si="10"/>
        <v>2700</v>
      </c>
      <c r="V12" s="13">
        <f t="shared" si="10"/>
        <v>0</v>
      </c>
      <c r="W12" s="13">
        <f t="shared" si="10"/>
        <v>675</v>
      </c>
      <c r="X12" s="15">
        <f t="shared" si="11"/>
        <v>15300</v>
      </c>
      <c r="Y12" s="15">
        <f t="shared" si="12"/>
        <v>30825</v>
      </c>
      <c r="Z12" s="15">
        <f t="shared" si="13"/>
        <v>26100</v>
      </c>
      <c r="AA12" s="15">
        <f t="shared" si="14"/>
        <v>15750</v>
      </c>
      <c r="AB12" s="15">
        <f t="shared" si="15"/>
        <v>20025</v>
      </c>
      <c r="AD12" s="17">
        <f t="shared" si="6"/>
        <v>86812.5</v>
      </c>
    </row>
    <row r="13" spans="1:30" x14ac:dyDescent="0.25">
      <c r="A13" s="2" t="s">
        <v>15</v>
      </c>
      <c r="B13" s="2" t="s">
        <v>35</v>
      </c>
      <c r="C13" s="5">
        <v>375</v>
      </c>
      <c r="D13" s="7">
        <v>34</v>
      </c>
      <c r="E13" s="7">
        <v>40</v>
      </c>
      <c r="F13" s="7">
        <v>45</v>
      </c>
      <c r="G13" s="7">
        <v>48</v>
      </c>
      <c r="H13" s="7">
        <v>52</v>
      </c>
      <c r="I13" s="9">
        <f t="shared" si="7"/>
        <v>0</v>
      </c>
      <c r="J13" s="9">
        <f t="shared" si="7"/>
        <v>0</v>
      </c>
      <c r="K13" s="9">
        <f t="shared" si="7"/>
        <v>5</v>
      </c>
      <c r="L13" s="9">
        <f t="shared" si="7"/>
        <v>8</v>
      </c>
      <c r="M13" s="9">
        <f t="shared" si="7"/>
        <v>12</v>
      </c>
      <c r="N13" s="11">
        <f t="shared" si="8"/>
        <v>12750</v>
      </c>
      <c r="O13" s="11">
        <f t="shared" si="9"/>
        <v>15000</v>
      </c>
      <c r="P13" s="11">
        <f t="shared" si="9"/>
        <v>16875</v>
      </c>
      <c r="Q13" s="11">
        <f t="shared" si="9"/>
        <v>18000</v>
      </c>
      <c r="R13" s="11">
        <f t="shared" si="9"/>
        <v>19500</v>
      </c>
      <c r="S13" s="13">
        <f t="shared" si="10"/>
        <v>0</v>
      </c>
      <c r="T13" s="13">
        <f t="shared" si="10"/>
        <v>0</v>
      </c>
      <c r="U13" s="13">
        <f t="shared" si="10"/>
        <v>937.5</v>
      </c>
      <c r="V13" s="13">
        <f t="shared" si="10"/>
        <v>1500</v>
      </c>
      <c r="W13" s="13">
        <f t="shared" si="10"/>
        <v>2250</v>
      </c>
      <c r="X13" s="15">
        <f t="shared" si="11"/>
        <v>12750</v>
      </c>
      <c r="Y13" s="15">
        <f t="shared" si="12"/>
        <v>15000</v>
      </c>
      <c r="Z13" s="15">
        <f t="shared" si="13"/>
        <v>17812.5</v>
      </c>
      <c r="AA13" s="15">
        <f t="shared" si="14"/>
        <v>19500</v>
      </c>
      <c r="AB13" s="15">
        <f t="shared" si="15"/>
        <v>21750</v>
      </c>
      <c r="AD13" s="17">
        <f t="shared" si="6"/>
        <v>70905</v>
      </c>
    </row>
    <row r="14" spans="1:30" x14ac:dyDescent="0.25">
      <c r="A14" s="2" t="s">
        <v>16</v>
      </c>
      <c r="B14" s="2" t="s">
        <v>36</v>
      </c>
      <c r="C14" s="5">
        <v>290</v>
      </c>
      <c r="D14" s="7">
        <v>32</v>
      </c>
      <c r="E14" s="7">
        <v>53</v>
      </c>
      <c r="F14" s="7">
        <v>47</v>
      </c>
      <c r="G14" s="7">
        <v>57</v>
      </c>
      <c r="H14" s="7">
        <v>37</v>
      </c>
      <c r="I14" s="9">
        <f t="shared" si="7"/>
        <v>0</v>
      </c>
      <c r="J14" s="9">
        <f t="shared" si="7"/>
        <v>13</v>
      </c>
      <c r="K14" s="9">
        <f t="shared" si="7"/>
        <v>7</v>
      </c>
      <c r="L14" s="9">
        <f t="shared" si="7"/>
        <v>17</v>
      </c>
      <c r="M14" s="9">
        <f t="shared" si="7"/>
        <v>0</v>
      </c>
      <c r="N14" s="11">
        <f t="shared" si="8"/>
        <v>9280</v>
      </c>
      <c r="O14" s="11">
        <f t="shared" si="9"/>
        <v>15370</v>
      </c>
      <c r="P14" s="11">
        <f t="shared" si="9"/>
        <v>13630</v>
      </c>
      <c r="Q14" s="11">
        <f t="shared" si="9"/>
        <v>16530</v>
      </c>
      <c r="R14" s="11">
        <f t="shared" si="9"/>
        <v>10730</v>
      </c>
      <c r="S14" s="13">
        <f t="shared" si="10"/>
        <v>0</v>
      </c>
      <c r="T14" s="13">
        <f t="shared" si="10"/>
        <v>1885</v>
      </c>
      <c r="U14" s="13">
        <f t="shared" si="10"/>
        <v>1015</v>
      </c>
      <c r="V14" s="13">
        <f t="shared" si="10"/>
        <v>2465</v>
      </c>
      <c r="W14" s="13">
        <f t="shared" si="10"/>
        <v>0</v>
      </c>
      <c r="X14" s="15">
        <f t="shared" si="11"/>
        <v>9280</v>
      </c>
      <c r="Y14" s="15">
        <f t="shared" si="12"/>
        <v>17255</v>
      </c>
      <c r="Z14" s="15">
        <f t="shared" si="13"/>
        <v>14645</v>
      </c>
      <c r="AA14" s="15">
        <f t="shared" si="14"/>
        <v>18995</v>
      </c>
      <c r="AB14" s="15">
        <f t="shared" si="15"/>
        <v>10730</v>
      </c>
      <c r="AD14" s="17">
        <f t="shared" si="6"/>
        <v>119750</v>
      </c>
    </row>
    <row r="15" spans="1:30" x14ac:dyDescent="0.25">
      <c r="A15" s="2" t="s">
        <v>17</v>
      </c>
      <c r="B15" s="2" t="s">
        <v>37</v>
      </c>
      <c r="C15" s="5">
        <v>500</v>
      </c>
      <c r="D15" s="7">
        <v>24</v>
      </c>
      <c r="E15" s="7">
        <v>37</v>
      </c>
      <c r="F15" s="7">
        <v>59</v>
      </c>
      <c r="G15" s="7">
        <v>42</v>
      </c>
      <c r="H15" s="7">
        <v>58</v>
      </c>
      <c r="I15" s="9">
        <f t="shared" si="7"/>
        <v>0</v>
      </c>
      <c r="J15" s="9">
        <f t="shared" si="7"/>
        <v>0</v>
      </c>
      <c r="K15" s="9">
        <f t="shared" si="7"/>
        <v>19</v>
      </c>
      <c r="L15" s="9">
        <f t="shared" si="7"/>
        <v>2</v>
      </c>
      <c r="M15" s="9">
        <f t="shared" si="7"/>
        <v>18</v>
      </c>
      <c r="N15" s="11">
        <f t="shared" si="8"/>
        <v>12000</v>
      </c>
      <c r="O15" s="11">
        <f t="shared" si="9"/>
        <v>18500</v>
      </c>
      <c r="P15" s="11">
        <f t="shared" si="9"/>
        <v>29500</v>
      </c>
      <c r="Q15" s="11">
        <f t="shared" si="9"/>
        <v>21000</v>
      </c>
      <c r="R15" s="11">
        <f t="shared" si="9"/>
        <v>29000</v>
      </c>
      <c r="S15" s="13">
        <f t="shared" si="10"/>
        <v>0</v>
      </c>
      <c r="T15" s="13">
        <f t="shared" si="10"/>
        <v>0</v>
      </c>
      <c r="U15" s="13">
        <f t="shared" si="10"/>
        <v>4750</v>
      </c>
      <c r="V15" s="13">
        <f t="shared" si="10"/>
        <v>500</v>
      </c>
      <c r="W15" s="13">
        <f t="shared" si="10"/>
        <v>4500</v>
      </c>
      <c r="X15" s="15">
        <f t="shared" si="11"/>
        <v>12000</v>
      </c>
      <c r="Y15" s="15">
        <f t="shared" si="12"/>
        <v>18500</v>
      </c>
      <c r="Z15" s="15">
        <f t="shared" si="13"/>
        <v>34250</v>
      </c>
      <c r="AA15" s="15">
        <f t="shared" si="14"/>
        <v>21500</v>
      </c>
      <c r="AB15" s="15">
        <f t="shared" si="15"/>
        <v>33500</v>
      </c>
      <c r="AD15" s="17">
        <f t="shared" si="6"/>
        <v>59540</v>
      </c>
    </row>
    <row r="16" spans="1:30" x14ac:dyDescent="0.25">
      <c r="A16" s="2" t="s">
        <v>18</v>
      </c>
      <c r="B16" s="2" t="s">
        <v>38</v>
      </c>
      <c r="C16" s="5">
        <v>260</v>
      </c>
      <c r="D16" s="7">
        <v>35</v>
      </c>
      <c r="E16" s="7">
        <v>48</v>
      </c>
      <c r="F16" s="7">
        <v>35</v>
      </c>
      <c r="G16" s="7">
        <v>53</v>
      </c>
      <c r="H16" s="7">
        <v>45</v>
      </c>
      <c r="I16" s="9">
        <f t="shared" si="7"/>
        <v>0</v>
      </c>
      <c r="J16" s="9">
        <f t="shared" si="7"/>
        <v>8</v>
      </c>
      <c r="K16" s="9">
        <f t="shared" si="7"/>
        <v>0</v>
      </c>
      <c r="L16" s="9">
        <f t="shared" si="7"/>
        <v>13</v>
      </c>
      <c r="M16" s="9">
        <f t="shared" si="7"/>
        <v>5</v>
      </c>
      <c r="N16" s="11">
        <f t="shared" si="8"/>
        <v>9100</v>
      </c>
      <c r="O16" s="11">
        <f t="shared" si="9"/>
        <v>12480</v>
      </c>
      <c r="P16" s="11">
        <f t="shared" si="9"/>
        <v>9100</v>
      </c>
      <c r="Q16" s="11">
        <f t="shared" si="9"/>
        <v>13780</v>
      </c>
      <c r="R16" s="11">
        <f t="shared" si="9"/>
        <v>11700</v>
      </c>
      <c r="S16" s="13">
        <f t="shared" si="10"/>
        <v>0</v>
      </c>
      <c r="T16" s="13">
        <f t="shared" si="10"/>
        <v>1040</v>
      </c>
      <c r="U16" s="13">
        <f t="shared" si="10"/>
        <v>0</v>
      </c>
      <c r="V16" s="13">
        <f t="shared" si="10"/>
        <v>1690</v>
      </c>
      <c r="W16" s="13">
        <f t="shared" si="10"/>
        <v>650</v>
      </c>
      <c r="X16" s="15">
        <f t="shared" si="11"/>
        <v>9100</v>
      </c>
      <c r="Y16" s="15">
        <f t="shared" si="12"/>
        <v>13520</v>
      </c>
      <c r="Z16" s="15">
        <f t="shared" si="13"/>
        <v>9100</v>
      </c>
      <c r="AA16" s="15">
        <f t="shared" si="14"/>
        <v>15470</v>
      </c>
      <c r="AB16" s="15">
        <f t="shared" si="15"/>
        <v>12350</v>
      </c>
      <c r="AD16" s="17">
        <f t="shared" si="6"/>
        <v>77055</v>
      </c>
    </row>
    <row r="17" spans="1:30" x14ac:dyDescent="0.25">
      <c r="A17" s="2" t="s">
        <v>19</v>
      </c>
      <c r="B17" s="2" t="s">
        <v>39</v>
      </c>
      <c r="C17" s="5">
        <v>330</v>
      </c>
      <c r="D17" s="7">
        <v>37</v>
      </c>
      <c r="E17" s="7">
        <v>55</v>
      </c>
      <c r="F17" s="7">
        <v>50</v>
      </c>
      <c r="G17" s="7">
        <v>39</v>
      </c>
      <c r="H17" s="7">
        <v>40</v>
      </c>
      <c r="I17" s="9">
        <f t="shared" si="7"/>
        <v>0</v>
      </c>
      <c r="J17" s="9">
        <f t="shared" si="7"/>
        <v>15</v>
      </c>
      <c r="K17" s="9">
        <f t="shared" si="7"/>
        <v>10</v>
      </c>
      <c r="L17" s="9">
        <f t="shared" si="7"/>
        <v>0</v>
      </c>
      <c r="M17" s="9">
        <f t="shared" si="7"/>
        <v>0</v>
      </c>
      <c r="N17" s="11">
        <f t="shared" si="8"/>
        <v>12210</v>
      </c>
      <c r="O17" s="11">
        <f t="shared" si="9"/>
        <v>18150</v>
      </c>
      <c r="P17" s="11">
        <f t="shared" si="9"/>
        <v>16500</v>
      </c>
      <c r="Q17" s="11">
        <f t="shared" si="9"/>
        <v>12870</v>
      </c>
      <c r="R17" s="11">
        <f t="shared" si="9"/>
        <v>13200</v>
      </c>
      <c r="S17" s="13">
        <f t="shared" si="10"/>
        <v>0</v>
      </c>
      <c r="T17" s="13">
        <f t="shared" si="10"/>
        <v>2475</v>
      </c>
      <c r="U17" s="13">
        <f t="shared" si="10"/>
        <v>1650</v>
      </c>
      <c r="V17" s="13">
        <f t="shared" si="10"/>
        <v>0</v>
      </c>
      <c r="W17" s="13">
        <f t="shared" si="10"/>
        <v>0</v>
      </c>
      <c r="X17" s="15">
        <f t="shared" si="11"/>
        <v>12210</v>
      </c>
      <c r="Y17" s="15">
        <f t="shared" si="12"/>
        <v>20625</v>
      </c>
      <c r="Z17" s="15">
        <f t="shared" si="13"/>
        <v>18150</v>
      </c>
      <c r="AA17" s="15">
        <f t="shared" si="14"/>
        <v>12870</v>
      </c>
      <c r="AB17" s="15">
        <f t="shared" si="15"/>
        <v>13200</v>
      </c>
      <c r="AD17" s="17">
        <f t="shared" si="6"/>
        <v>96555</v>
      </c>
    </row>
    <row r="18" spans="1:30" x14ac:dyDescent="0.25">
      <c r="A18" s="2" t="s">
        <v>20</v>
      </c>
      <c r="B18" s="2" t="s">
        <v>40</v>
      </c>
      <c r="C18" s="5">
        <v>410</v>
      </c>
      <c r="D18" s="7">
        <v>38</v>
      </c>
      <c r="E18" s="7">
        <v>41</v>
      </c>
      <c r="F18" s="7">
        <v>44</v>
      </c>
      <c r="G18" s="7">
        <v>45</v>
      </c>
      <c r="H18" s="7">
        <v>55</v>
      </c>
      <c r="I18" s="9">
        <f t="shared" si="7"/>
        <v>0</v>
      </c>
      <c r="J18" s="9">
        <f t="shared" si="7"/>
        <v>1</v>
      </c>
      <c r="K18" s="9">
        <f t="shared" si="7"/>
        <v>4</v>
      </c>
      <c r="L18" s="9">
        <f t="shared" si="7"/>
        <v>5</v>
      </c>
      <c r="M18" s="9">
        <f t="shared" si="7"/>
        <v>15</v>
      </c>
      <c r="N18" s="11">
        <f t="shared" si="8"/>
        <v>15580</v>
      </c>
      <c r="O18" s="11">
        <f t="shared" si="9"/>
        <v>16810</v>
      </c>
      <c r="P18" s="11">
        <f t="shared" si="9"/>
        <v>18040</v>
      </c>
      <c r="Q18" s="11">
        <f t="shared" si="9"/>
        <v>18450</v>
      </c>
      <c r="R18" s="11">
        <f t="shared" si="9"/>
        <v>22550</v>
      </c>
      <c r="S18" s="13">
        <f t="shared" si="10"/>
        <v>0</v>
      </c>
      <c r="T18" s="13">
        <f t="shared" si="10"/>
        <v>205</v>
      </c>
      <c r="U18" s="13">
        <f t="shared" si="10"/>
        <v>820</v>
      </c>
      <c r="V18" s="13">
        <f t="shared" si="10"/>
        <v>1025</v>
      </c>
      <c r="W18" s="13">
        <f t="shared" si="10"/>
        <v>3075</v>
      </c>
      <c r="X18" s="15">
        <f t="shared" si="11"/>
        <v>15580</v>
      </c>
      <c r="Y18" s="15">
        <f t="shared" si="12"/>
        <v>17015</v>
      </c>
      <c r="Z18" s="15">
        <f t="shared" si="13"/>
        <v>18860</v>
      </c>
      <c r="AA18" s="15">
        <f t="shared" si="14"/>
        <v>19475</v>
      </c>
      <c r="AB18" s="15">
        <f t="shared" si="15"/>
        <v>25625</v>
      </c>
      <c r="AD18" s="17">
        <f t="shared" si="6"/>
        <v>66480</v>
      </c>
    </row>
    <row r="19" spans="1:30" x14ac:dyDescent="0.25">
      <c r="A19" s="2" t="s">
        <v>21</v>
      </c>
      <c r="B19" s="2" t="s">
        <v>41</v>
      </c>
      <c r="C19" s="5">
        <v>240</v>
      </c>
      <c r="D19" s="7">
        <v>39</v>
      </c>
      <c r="E19" s="7">
        <v>58</v>
      </c>
      <c r="F19" s="7">
        <v>56</v>
      </c>
      <c r="G19" s="7">
        <v>50</v>
      </c>
      <c r="H19" s="7">
        <v>48</v>
      </c>
      <c r="I19" s="9">
        <f t="shared" si="7"/>
        <v>0</v>
      </c>
      <c r="J19" s="9">
        <f t="shared" si="7"/>
        <v>18</v>
      </c>
      <c r="K19" s="9">
        <f t="shared" si="7"/>
        <v>16</v>
      </c>
      <c r="L19" s="9">
        <f t="shared" si="7"/>
        <v>10</v>
      </c>
      <c r="M19" s="9">
        <f t="shared" si="7"/>
        <v>8</v>
      </c>
      <c r="N19" s="11">
        <f t="shared" si="8"/>
        <v>9360</v>
      </c>
      <c r="O19" s="11">
        <f t="shared" si="9"/>
        <v>13920</v>
      </c>
      <c r="P19" s="11">
        <f t="shared" si="9"/>
        <v>13440</v>
      </c>
      <c r="Q19" s="11">
        <f t="shared" si="9"/>
        <v>12000</v>
      </c>
      <c r="R19" s="11">
        <f t="shared" si="9"/>
        <v>11520</v>
      </c>
      <c r="S19" s="13">
        <f t="shared" si="10"/>
        <v>0</v>
      </c>
      <c r="T19" s="13">
        <f t="shared" si="10"/>
        <v>2160</v>
      </c>
      <c r="U19" s="13">
        <f t="shared" si="10"/>
        <v>1920</v>
      </c>
      <c r="V19" s="13">
        <f t="shared" si="10"/>
        <v>1200</v>
      </c>
      <c r="W19" s="13">
        <f t="shared" si="10"/>
        <v>960</v>
      </c>
      <c r="X19" s="15">
        <f t="shared" si="11"/>
        <v>9360</v>
      </c>
      <c r="Y19" s="15">
        <f t="shared" si="12"/>
        <v>16080</v>
      </c>
      <c r="Z19" s="15">
        <f t="shared" si="13"/>
        <v>15360</v>
      </c>
      <c r="AA19" s="15">
        <f t="shared" si="14"/>
        <v>13200</v>
      </c>
      <c r="AB19" s="15">
        <f t="shared" si="15"/>
        <v>12480</v>
      </c>
      <c r="AD19" s="17">
        <f t="shared" si="6"/>
        <v>80460</v>
      </c>
    </row>
    <row r="20" spans="1:30" x14ac:dyDescent="0.25">
      <c r="A20" s="2" t="s">
        <v>22</v>
      </c>
      <c r="B20" s="2" t="s">
        <v>42</v>
      </c>
      <c r="C20" s="5">
        <v>360</v>
      </c>
      <c r="D20" s="7">
        <v>40</v>
      </c>
      <c r="E20" s="7">
        <v>46</v>
      </c>
      <c r="F20" s="7">
        <v>39</v>
      </c>
      <c r="G20" s="7">
        <v>36</v>
      </c>
      <c r="H20" s="7">
        <v>53</v>
      </c>
      <c r="I20" s="9">
        <f t="shared" si="7"/>
        <v>0</v>
      </c>
      <c r="J20" s="9">
        <f t="shared" si="7"/>
        <v>6</v>
      </c>
      <c r="K20" s="9">
        <f t="shared" si="7"/>
        <v>0</v>
      </c>
      <c r="L20" s="9">
        <f t="shared" si="7"/>
        <v>0</v>
      </c>
      <c r="M20" s="9">
        <f t="shared" si="7"/>
        <v>13</v>
      </c>
      <c r="N20" s="11">
        <f t="shared" si="8"/>
        <v>14400</v>
      </c>
      <c r="O20" s="11">
        <f t="shared" si="9"/>
        <v>16560</v>
      </c>
      <c r="P20" s="11">
        <f t="shared" si="9"/>
        <v>14040</v>
      </c>
      <c r="Q20" s="11">
        <f t="shared" si="9"/>
        <v>12960</v>
      </c>
      <c r="R20" s="11">
        <f t="shared" si="9"/>
        <v>19080</v>
      </c>
      <c r="S20" s="13">
        <f t="shared" si="10"/>
        <v>0</v>
      </c>
      <c r="T20" s="13">
        <f t="shared" si="10"/>
        <v>1080</v>
      </c>
      <c r="U20" s="13">
        <f t="shared" si="10"/>
        <v>0</v>
      </c>
      <c r="V20" s="13">
        <f t="shared" si="10"/>
        <v>0</v>
      </c>
      <c r="W20" s="13">
        <f t="shared" si="10"/>
        <v>2340</v>
      </c>
      <c r="X20" s="15">
        <f t="shared" si="11"/>
        <v>14400</v>
      </c>
      <c r="Y20" s="15">
        <f t="shared" si="12"/>
        <v>17640</v>
      </c>
      <c r="Z20" s="15">
        <f t="shared" si="13"/>
        <v>14040</v>
      </c>
      <c r="AA20" s="15">
        <f t="shared" si="14"/>
        <v>12960</v>
      </c>
      <c r="AB20" s="15">
        <f t="shared" si="15"/>
        <v>21420</v>
      </c>
      <c r="AD20" s="17">
        <f t="shared" si="6"/>
        <v>72300</v>
      </c>
    </row>
    <row r="21" spans="1:30" x14ac:dyDescent="0.25">
      <c r="A21" s="2" t="s">
        <v>23</v>
      </c>
      <c r="B21" s="2" t="s">
        <v>43</v>
      </c>
      <c r="C21" s="5">
        <v>300</v>
      </c>
      <c r="D21" s="7">
        <v>38</v>
      </c>
      <c r="E21" s="7">
        <v>39</v>
      </c>
      <c r="F21" s="7">
        <v>53</v>
      </c>
      <c r="G21" s="7">
        <v>59</v>
      </c>
      <c r="H21" s="7">
        <v>36</v>
      </c>
      <c r="I21" s="9">
        <f t="shared" si="7"/>
        <v>0</v>
      </c>
      <c r="J21" s="9">
        <f t="shared" si="7"/>
        <v>0</v>
      </c>
      <c r="K21" s="9">
        <f t="shared" si="7"/>
        <v>13</v>
      </c>
      <c r="L21" s="9">
        <f t="shared" si="7"/>
        <v>19</v>
      </c>
      <c r="M21" s="9">
        <f t="shared" si="7"/>
        <v>0</v>
      </c>
      <c r="N21" s="11">
        <f t="shared" si="8"/>
        <v>11400</v>
      </c>
      <c r="O21" s="11">
        <f t="shared" si="9"/>
        <v>11700</v>
      </c>
      <c r="P21" s="11">
        <f t="shared" si="9"/>
        <v>15900</v>
      </c>
      <c r="Q21" s="11">
        <f t="shared" si="9"/>
        <v>17700</v>
      </c>
      <c r="R21" s="11">
        <f t="shared" si="9"/>
        <v>10800</v>
      </c>
      <c r="S21" s="13">
        <f t="shared" si="10"/>
        <v>0</v>
      </c>
      <c r="T21" s="13">
        <f t="shared" si="10"/>
        <v>0</v>
      </c>
      <c r="U21" s="13">
        <f t="shared" si="10"/>
        <v>1950</v>
      </c>
      <c r="V21" s="13">
        <f t="shared" si="10"/>
        <v>2850</v>
      </c>
      <c r="W21" s="13">
        <f t="shared" si="10"/>
        <v>0</v>
      </c>
      <c r="X21" s="15">
        <f t="shared" si="11"/>
        <v>11400</v>
      </c>
      <c r="Y21" s="15">
        <f t="shared" si="12"/>
        <v>11700</v>
      </c>
      <c r="Z21" s="15">
        <f t="shared" si="13"/>
        <v>17850</v>
      </c>
      <c r="AA21" s="15">
        <f t="shared" si="14"/>
        <v>20550</v>
      </c>
      <c r="AB21" s="15">
        <f t="shared" si="15"/>
        <v>10800</v>
      </c>
      <c r="AD21" s="17">
        <f t="shared" si="6"/>
        <v>108162.5</v>
      </c>
    </row>
    <row r="22" spans="1:30" x14ac:dyDescent="0.25">
      <c r="A22" s="2" t="s">
        <v>24</v>
      </c>
      <c r="B22" s="2" t="s">
        <v>44</v>
      </c>
      <c r="C22" s="5">
        <v>425</v>
      </c>
      <c r="D22" s="7">
        <v>39</v>
      </c>
      <c r="E22" s="7">
        <v>52</v>
      </c>
      <c r="F22" s="7">
        <v>42</v>
      </c>
      <c r="G22" s="7">
        <v>44</v>
      </c>
      <c r="H22" s="7">
        <v>59</v>
      </c>
      <c r="I22" s="9">
        <f t="shared" si="7"/>
        <v>0</v>
      </c>
      <c r="J22" s="9">
        <f t="shared" si="7"/>
        <v>12</v>
      </c>
      <c r="K22" s="9">
        <f t="shared" si="7"/>
        <v>2</v>
      </c>
      <c r="L22" s="9">
        <f t="shared" si="7"/>
        <v>4</v>
      </c>
      <c r="M22" s="9">
        <f t="shared" si="7"/>
        <v>19</v>
      </c>
      <c r="N22" s="11">
        <f t="shared" si="8"/>
        <v>16575</v>
      </c>
      <c r="O22" s="11">
        <f t="shared" si="9"/>
        <v>22100</v>
      </c>
      <c r="P22" s="11">
        <f t="shared" si="9"/>
        <v>17850</v>
      </c>
      <c r="Q22" s="11">
        <f t="shared" si="9"/>
        <v>18700</v>
      </c>
      <c r="R22" s="11">
        <f t="shared" si="9"/>
        <v>25075</v>
      </c>
      <c r="S22" s="13">
        <f t="shared" si="10"/>
        <v>0</v>
      </c>
      <c r="T22" s="13">
        <f t="shared" si="10"/>
        <v>2550</v>
      </c>
      <c r="U22" s="13">
        <f t="shared" si="10"/>
        <v>425</v>
      </c>
      <c r="V22" s="13">
        <f t="shared" si="10"/>
        <v>850</v>
      </c>
      <c r="W22" s="13">
        <f t="shared" si="10"/>
        <v>4037.5</v>
      </c>
      <c r="X22" s="15">
        <f t="shared" si="11"/>
        <v>16575</v>
      </c>
      <c r="Y22" s="15">
        <f t="shared" si="12"/>
        <v>24650</v>
      </c>
      <c r="Z22" s="15">
        <f t="shared" si="13"/>
        <v>18275</v>
      </c>
      <c r="AA22" s="15">
        <f t="shared" si="14"/>
        <v>19550</v>
      </c>
      <c r="AB22" s="15">
        <f t="shared" si="15"/>
        <v>29112.5</v>
      </c>
      <c r="AD22" s="17">
        <f t="shared" si="6"/>
        <v>64762.5</v>
      </c>
    </row>
    <row r="23" spans="1:30" x14ac:dyDescent="0.25">
      <c r="A23" s="2" t="s">
        <v>25</v>
      </c>
      <c r="B23" s="2" t="s">
        <v>45</v>
      </c>
      <c r="C23" s="5">
        <v>275</v>
      </c>
      <c r="D23" s="7">
        <v>32</v>
      </c>
      <c r="E23" s="7">
        <v>45</v>
      </c>
      <c r="F23" s="7">
        <v>48</v>
      </c>
      <c r="G23" s="7">
        <v>52</v>
      </c>
      <c r="H23" s="7">
        <v>44</v>
      </c>
      <c r="I23" s="9">
        <f t="shared" si="7"/>
        <v>0</v>
      </c>
      <c r="J23" s="9">
        <f t="shared" si="7"/>
        <v>5</v>
      </c>
      <c r="K23" s="9">
        <f t="shared" si="7"/>
        <v>8</v>
      </c>
      <c r="L23" s="9">
        <f t="shared" si="7"/>
        <v>12</v>
      </c>
      <c r="M23" s="9">
        <f t="shared" si="7"/>
        <v>4</v>
      </c>
      <c r="N23" s="11">
        <f t="shared" si="8"/>
        <v>8800</v>
      </c>
      <c r="O23" s="11">
        <f t="shared" si="9"/>
        <v>12375</v>
      </c>
      <c r="P23" s="11">
        <f t="shared" si="9"/>
        <v>13200</v>
      </c>
      <c r="Q23" s="11">
        <f t="shared" si="9"/>
        <v>14300</v>
      </c>
      <c r="R23" s="11">
        <f t="shared" si="9"/>
        <v>12100</v>
      </c>
      <c r="S23" s="13">
        <f t="shared" si="10"/>
        <v>0</v>
      </c>
      <c r="T23" s="13">
        <f t="shared" si="10"/>
        <v>687.5</v>
      </c>
      <c r="U23" s="13">
        <f t="shared" si="10"/>
        <v>1100</v>
      </c>
      <c r="V23" s="13">
        <f t="shared" si="10"/>
        <v>1650</v>
      </c>
      <c r="W23" s="13">
        <f t="shared" si="10"/>
        <v>550</v>
      </c>
      <c r="X23" s="15">
        <f t="shared" si="11"/>
        <v>8800</v>
      </c>
      <c r="Y23" s="15">
        <f t="shared" si="12"/>
        <v>13062.5</v>
      </c>
      <c r="Z23" s="15">
        <f t="shared" si="13"/>
        <v>14300</v>
      </c>
      <c r="AA23" s="15">
        <f t="shared" si="14"/>
        <v>15950</v>
      </c>
      <c r="AB23" s="15">
        <f t="shared" si="15"/>
        <v>12650</v>
      </c>
      <c r="AD23" s="17">
        <f>SUM(X23:AB23)</f>
        <v>64762.5</v>
      </c>
    </row>
    <row r="25" spans="1:30" x14ac:dyDescent="0.25">
      <c r="B25" s="3" t="s">
        <v>46</v>
      </c>
      <c r="C25" s="16">
        <f>MAX(C4:C24)</f>
        <v>500</v>
      </c>
      <c r="D25" s="16">
        <f t="shared" ref="D25:AD28" si="16">MAX(D4:D24)</f>
        <v>43</v>
      </c>
      <c r="E25" s="16">
        <f t="shared" si="16"/>
        <v>60</v>
      </c>
      <c r="F25" s="16">
        <f t="shared" si="16"/>
        <v>60</v>
      </c>
      <c r="G25" s="16">
        <f t="shared" si="16"/>
        <v>60</v>
      </c>
      <c r="H25" s="16">
        <f t="shared" si="16"/>
        <v>60</v>
      </c>
      <c r="I25" s="16">
        <f t="shared" si="16"/>
        <v>3</v>
      </c>
      <c r="J25" s="16">
        <f t="shared" si="16"/>
        <v>20</v>
      </c>
      <c r="K25" s="16">
        <f t="shared" si="16"/>
        <v>20</v>
      </c>
      <c r="L25" s="16">
        <f t="shared" si="16"/>
        <v>20</v>
      </c>
      <c r="M25" s="16">
        <f t="shared" si="16"/>
        <v>20</v>
      </c>
      <c r="N25" s="16">
        <f t="shared" si="16"/>
        <v>16575</v>
      </c>
      <c r="O25" s="16">
        <f t="shared" si="16"/>
        <v>26550</v>
      </c>
      <c r="P25" s="16">
        <f t="shared" si="16"/>
        <v>29500</v>
      </c>
      <c r="Q25" s="16">
        <f t="shared" si="16"/>
        <v>21000</v>
      </c>
      <c r="R25" s="16">
        <f t="shared" si="16"/>
        <v>29000</v>
      </c>
      <c r="S25" s="16">
        <f t="shared" si="16"/>
        <v>420</v>
      </c>
      <c r="T25" s="16">
        <f t="shared" si="16"/>
        <v>4275</v>
      </c>
      <c r="U25" s="16">
        <f t="shared" si="16"/>
        <v>4750</v>
      </c>
      <c r="V25" s="16">
        <f t="shared" si="16"/>
        <v>2850</v>
      </c>
      <c r="W25" s="16">
        <f t="shared" si="16"/>
        <v>4500</v>
      </c>
      <c r="X25" s="16">
        <f t="shared" si="16"/>
        <v>16575</v>
      </c>
      <c r="Y25" s="16">
        <f t="shared" si="16"/>
        <v>30825</v>
      </c>
      <c r="Z25" s="16">
        <f t="shared" si="16"/>
        <v>34250</v>
      </c>
      <c r="AA25" s="16">
        <f t="shared" si="16"/>
        <v>21500</v>
      </c>
      <c r="AB25" s="16">
        <f t="shared" si="16"/>
        <v>33500</v>
      </c>
      <c r="AD25" s="16">
        <f t="shared" si="16"/>
        <v>119750</v>
      </c>
    </row>
    <row r="26" spans="1:30" x14ac:dyDescent="0.25">
      <c r="B26" s="3" t="s">
        <v>47</v>
      </c>
      <c r="C26" s="16">
        <f>MIN(C4:C23)</f>
        <v>225</v>
      </c>
      <c r="D26" s="16">
        <f t="shared" ref="D26:AD26" si="17">MIN(D4:D23)</f>
        <v>24</v>
      </c>
      <c r="E26" s="16">
        <f t="shared" si="17"/>
        <v>35</v>
      </c>
      <c r="F26" s="16">
        <f t="shared" si="17"/>
        <v>35</v>
      </c>
      <c r="G26" s="16">
        <f t="shared" si="17"/>
        <v>35</v>
      </c>
      <c r="H26" s="16">
        <f t="shared" si="17"/>
        <v>35</v>
      </c>
      <c r="I26" s="16">
        <f t="shared" si="17"/>
        <v>0</v>
      </c>
      <c r="J26" s="16">
        <f t="shared" si="17"/>
        <v>0</v>
      </c>
      <c r="K26" s="16">
        <f t="shared" si="17"/>
        <v>0</v>
      </c>
      <c r="L26" s="16">
        <f t="shared" si="17"/>
        <v>0</v>
      </c>
      <c r="M26" s="16">
        <f t="shared" si="17"/>
        <v>0</v>
      </c>
      <c r="N26" s="16">
        <f t="shared" si="17"/>
        <v>8800</v>
      </c>
      <c r="O26" s="16">
        <f t="shared" si="17"/>
        <v>7875</v>
      </c>
      <c r="P26" s="16">
        <f t="shared" si="17"/>
        <v>9100</v>
      </c>
      <c r="Q26" s="16">
        <f t="shared" si="17"/>
        <v>11475</v>
      </c>
      <c r="R26" s="16">
        <f t="shared" si="17"/>
        <v>7875</v>
      </c>
      <c r="S26" s="16">
        <f t="shared" si="17"/>
        <v>0</v>
      </c>
      <c r="T26" s="16">
        <f t="shared" si="17"/>
        <v>0</v>
      </c>
      <c r="U26" s="16">
        <f t="shared" si="17"/>
        <v>0</v>
      </c>
      <c r="V26" s="16">
        <f t="shared" si="17"/>
        <v>0</v>
      </c>
      <c r="W26" s="16">
        <f t="shared" si="17"/>
        <v>0</v>
      </c>
      <c r="X26" s="16">
        <f t="shared" si="17"/>
        <v>8800</v>
      </c>
      <c r="Y26" s="16">
        <f t="shared" si="17"/>
        <v>7875</v>
      </c>
      <c r="Z26" s="16">
        <f t="shared" si="17"/>
        <v>9100</v>
      </c>
      <c r="AA26" s="16">
        <f t="shared" si="17"/>
        <v>12000</v>
      </c>
      <c r="AB26" s="16">
        <f t="shared" si="17"/>
        <v>7875</v>
      </c>
      <c r="AD26" s="16">
        <f>MIN(AD4:AD23)</f>
        <v>47137.5</v>
      </c>
    </row>
    <row r="27" spans="1:30" x14ac:dyDescent="0.25">
      <c r="B27" s="3" t="s">
        <v>48</v>
      </c>
      <c r="C27" s="16">
        <f>AVERAGE(C4:C23)</f>
        <v>330.75</v>
      </c>
      <c r="D27" s="16">
        <f t="shared" ref="D27:AD27" si="18">AVERAGE(D4:D23)</f>
        <v>37.1</v>
      </c>
      <c r="E27" s="16">
        <f t="shared" si="18"/>
        <v>47.3</v>
      </c>
      <c r="F27" s="16">
        <f t="shared" si="18"/>
        <v>47.4</v>
      </c>
      <c r="G27" s="16">
        <f t="shared" si="18"/>
        <v>47.5</v>
      </c>
      <c r="H27" s="16">
        <f t="shared" si="18"/>
        <v>47.5</v>
      </c>
      <c r="I27" s="16">
        <f t="shared" si="18"/>
        <v>0.4</v>
      </c>
      <c r="J27" s="16">
        <f t="shared" si="18"/>
        <v>7.85</v>
      </c>
      <c r="K27" s="16">
        <f t="shared" si="18"/>
        <v>8</v>
      </c>
      <c r="L27" s="16">
        <f t="shared" si="18"/>
        <v>8.15</v>
      </c>
      <c r="M27" s="16">
        <f t="shared" si="18"/>
        <v>8.1999999999999993</v>
      </c>
      <c r="N27" s="16">
        <f t="shared" si="18"/>
        <v>12100.5</v>
      </c>
      <c r="O27" s="16">
        <f t="shared" si="18"/>
        <v>15711.5</v>
      </c>
      <c r="P27" s="16">
        <f t="shared" si="18"/>
        <v>15852</v>
      </c>
      <c r="Q27" s="16">
        <f t="shared" si="18"/>
        <v>15356.25</v>
      </c>
      <c r="R27" s="16">
        <f t="shared" si="18"/>
        <v>16016.75</v>
      </c>
      <c r="S27" s="16">
        <f t="shared" si="18"/>
        <v>55.375</v>
      </c>
      <c r="T27" s="16">
        <f t="shared" si="18"/>
        <v>1327.625</v>
      </c>
      <c r="U27" s="16">
        <f t="shared" si="18"/>
        <v>1394</v>
      </c>
      <c r="V27" s="16">
        <f t="shared" si="18"/>
        <v>1189.875</v>
      </c>
      <c r="W27" s="16">
        <f t="shared" si="18"/>
        <v>1485.75</v>
      </c>
      <c r="X27" s="16">
        <f t="shared" si="18"/>
        <v>12155.875</v>
      </c>
      <c r="Y27" s="16">
        <f t="shared" si="18"/>
        <v>17039.125</v>
      </c>
      <c r="Z27" s="16">
        <f t="shared" si="18"/>
        <v>17246</v>
      </c>
      <c r="AA27" s="16">
        <f t="shared" si="18"/>
        <v>16546.125</v>
      </c>
      <c r="AB27" s="16">
        <f t="shared" si="18"/>
        <v>17502.5</v>
      </c>
      <c r="AD27" s="16">
        <f t="shared" ref="AD27" si="19">AVERAGE(AD4:AD23)</f>
        <v>80877.75</v>
      </c>
    </row>
    <row r="28" spans="1:30" x14ac:dyDescent="0.25">
      <c r="B28" s="3" t="s">
        <v>49</v>
      </c>
      <c r="C28" s="16">
        <f>SUM(C4:C23)</f>
        <v>6615</v>
      </c>
      <c r="D28" s="16">
        <f t="shared" ref="D28:AD28" si="20">SUM(D4:D23)</f>
        <v>742</v>
      </c>
      <c r="E28" s="16">
        <f t="shared" si="20"/>
        <v>946</v>
      </c>
      <c r="F28" s="16">
        <f t="shared" si="20"/>
        <v>948</v>
      </c>
      <c r="G28" s="16">
        <f t="shared" si="20"/>
        <v>950</v>
      </c>
      <c r="H28" s="16">
        <f t="shared" si="20"/>
        <v>950</v>
      </c>
      <c r="I28" s="16">
        <f t="shared" si="20"/>
        <v>8</v>
      </c>
      <c r="J28" s="16">
        <f t="shared" si="20"/>
        <v>157</v>
      </c>
      <c r="K28" s="16">
        <f t="shared" si="20"/>
        <v>160</v>
      </c>
      <c r="L28" s="16">
        <f t="shared" si="20"/>
        <v>163</v>
      </c>
      <c r="M28" s="16">
        <f t="shared" si="20"/>
        <v>164</v>
      </c>
      <c r="N28" s="16">
        <f t="shared" si="20"/>
        <v>242010</v>
      </c>
      <c r="O28" s="16">
        <f t="shared" si="20"/>
        <v>314230</v>
      </c>
      <c r="P28" s="16">
        <f t="shared" si="20"/>
        <v>317040</v>
      </c>
      <c r="Q28" s="16">
        <f t="shared" si="20"/>
        <v>307125</v>
      </c>
      <c r="R28" s="16">
        <f t="shared" si="20"/>
        <v>320335</v>
      </c>
      <c r="S28" s="16">
        <f t="shared" si="20"/>
        <v>1107.5</v>
      </c>
      <c r="T28" s="16">
        <f t="shared" si="20"/>
        <v>26552.5</v>
      </c>
      <c r="U28" s="16">
        <f t="shared" si="20"/>
        <v>27880</v>
      </c>
      <c r="V28" s="16">
        <f t="shared" si="20"/>
        <v>23797.5</v>
      </c>
      <c r="W28" s="16">
        <f t="shared" si="20"/>
        <v>29715</v>
      </c>
      <c r="X28" s="16">
        <f t="shared" si="20"/>
        <v>243117.5</v>
      </c>
      <c r="Y28" s="16">
        <f t="shared" si="20"/>
        <v>340782.5</v>
      </c>
      <c r="Z28" s="16">
        <f t="shared" si="20"/>
        <v>344920</v>
      </c>
      <c r="AA28" s="16">
        <f t="shared" si="20"/>
        <v>330922.5</v>
      </c>
      <c r="AB28" s="16">
        <f t="shared" si="20"/>
        <v>350050</v>
      </c>
      <c r="AD28" s="16">
        <f t="shared" ref="AD28" si="21">SUM(AD4:AD23)</f>
        <v>1617555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2026-09-09T09:08:16Z</dcterms:created>
  <dcterms:modified xsi:type="dcterms:W3CDTF">2026-09-09T11:01:30Z</dcterms:modified>
</cp:coreProperties>
</file>