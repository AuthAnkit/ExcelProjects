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zi\Downloads\"/>
    </mc:Choice>
  </mc:AlternateContent>
  <xr:revisionPtr revIDLastSave="0" documentId="13_ncr:1_{73202BCF-3F81-46E6-8C5E-DFFF06C13F33}" xr6:coauthVersionLast="47" xr6:coauthVersionMax="47" xr10:uidLastSave="{00000000-0000-0000-0000-000000000000}"/>
  <bookViews>
    <workbookView xWindow="-108" yWindow="-108" windowWidth="23256" windowHeight="13176" xr2:uid="{20A1D2A0-728E-4342-8651-FE47DC7AF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" i="1" l="1"/>
  <c r="K26" i="1"/>
  <c r="K25" i="1"/>
  <c r="J27" i="1"/>
  <c r="J26" i="1"/>
  <c r="J25" i="1"/>
  <c r="I27" i="1"/>
  <c r="I26" i="1"/>
  <c r="I25" i="1"/>
  <c r="H27" i="1"/>
  <c r="H26" i="1"/>
  <c r="H25" i="1"/>
  <c r="F27" i="1"/>
  <c r="F26" i="1"/>
  <c r="F25" i="1"/>
  <c r="E27" i="1"/>
  <c r="E26" i="1"/>
  <c r="E25" i="1"/>
  <c r="D27" i="1"/>
  <c r="D26" i="1"/>
  <c r="D25" i="1"/>
  <c r="C27" i="1"/>
  <c r="C26" i="1"/>
  <c r="C2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K4" i="1"/>
  <c r="J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<sst xmlns="http://schemas.openxmlformats.org/spreadsheetml/2006/main" count="56" uniqueCount="52">
  <si>
    <t>GradeBook</t>
  </si>
  <si>
    <t>Last Name</t>
  </si>
  <si>
    <t>First Name</t>
  </si>
  <si>
    <t>Sharma</t>
  </si>
  <si>
    <t>Patel</t>
  </si>
  <si>
    <t>Singh</t>
  </si>
  <si>
    <t>Kumar</t>
  </si>
  <si>
    <t>Verma</t>
  </si>
  <si>
    <t>Mehta</t>
  </si>
  <si>
    <t>Shah</t>
  </si>
  <si>
    <t>Joshi</t>
  </si>
  <si>
    <t>Mishra</t>
  </si>
  <si>
    <t>Gupta</t>
  </si>
  <si>
    <t>Malhotra</t>
  </si>
  <si>
    <t>Kapoor</t>
  </si>
  <si>
    <t>Reddy</t>
  </si>
  <si>
    <t>Iyer</t>
  </si>
  <si>
    <t>Nair</t>
  </si>
  <si>
    <t>Chauhan</t>
  </si>
  <si>
    <t>Yadav</t>
  </si>
  <si>
    <t>Pandey</t>
  </si>
  <si>
    <t>Saxena</t>
  </si>
  <si>
    <t>Agarwal</t>
  </si>
  <si>
    <t>Aarav</t>
  </si>
  <si>
    <t>Vivaan</t>
  </si>
  <si>
    <t>Aditya</t>
  </si>
  <si>
    <t>Arjun</t>
  </si>
  <si>
    <t>Rohan</t>
  </si>
  <si>
    <t>Rahul</t>
  </si>
  <si>
    <t>Karan</t>
  </si>
  <si>
    <t>Akash</t>
  </si>
  <si>
    <t>Yash</t>
  </si>
  <si>
    <t>Aryan</t>
  </si>
  <si>
    <t>Kabir</t>
  </si>
  <si>
    <t>Ritvik</t>
  </si>
  <si>
    <t>Dev</t>
  </si>
  <si>
    <t>Manav</t>
  </si>
  <si>
    <t>Nikhil</t>
  </si>
  <si>
    <t>Varun</t>
  </si>
  <si>
    <t>Ankit</t>
  </si>
  <si>
    <t>Harsh</t>
  </si>
  <si>
    <t>Raj</t>
  </si>
  <si>
    <t>Sahil</t>
  </si>
  <si>
    <t>Safety Test</t>
  </si>
  <si>
    <t>Company Philosophy Test</t>
  </si>
  <si>
    <t>Financial Skills Test</t>
  </si>
  <si>
    <t>Drug Test</t>
  </si>
  <si>
    <t>Possible Points</t>
  </si>
  <si>
    <t>Fire Employee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</si>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</sst>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textRotation="90"/>
    </xf>
    <xf numFmtId="9" fontId="0" fillId="0" borderId="0" xfId="1" applyFont="1"/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(Sheet1!$B$4:$B$22,Sheet1!$B$23)</c:f>
              <c:strCache>
                <c:ptCount val="20"/>
                <c:pt idx="0">
                  <c:v>Aarav</c:v>
                </c:pt>
                <c:pt idx="1">
                  <c:v>Vivaan</c:v>
                </c:pt>
                <c:pt idx="2">
                  <c:v>Aditya</c:v>
                </c:pt>
                <c:pt idx="3">
                  <c:v>Arjun</c:v>
                </c:pt>
                <c:pt idx="4">
                  <c:v>Rohan</c:v>
                </c:pt>
                <c:pt idx="5">
                  <c:v>Rahul</c:v>
                </c:pt>
                <c:pt idx="6">
                  <c:v>Karan</c:v>
                </c:pt>
                <c:pt idx="7">
                  <c:v>Akash</c:v>
                </c:pt>
                <c:pt idx="8">
                  <c:v>Yash</c:v>
                </c:pt>
                <c:pt idx="9">
                  <c:v>Aryan</c:v>
                </c:pt>
                <c:pt idx="10">
                  <c:v>Kabir</c:v>
                </c:pt>
                <c:pt idx="11">
                  <c:v>Ritvik</c:v>
                </c:pt>
                <c:pt idx="12">
                  <c:v>Dev</c:v>
                </c:pt>
                <c:pt idx="13">
                  <c:v>Manav</c:v>
                </c:pt>
                <c:pt idx="14">
                  <c:v>Nikhil</c:v>
                </c:pt>
                <c:pt idx="15">
                  <c:v>Varun</c:v>
                </c:pt>
                <c:pt idx="16">
                  <c:v>Ankit</c:v>
                </c:pt>
                <c:pt idx="17">
                  <c:v>Harsh</c:v>
                </c:pt>
                <c:pt idx="18">
                  <c:v>Raj</c:v>
                </c:pt>
                <c:pt idx="19">
                  <c:v>Sahil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4</c:v>
                </c:pt>
                <c:pt idx="1">
                  <c:v>9</c:v>
                </c:pt>
                <c:pt idx="2">
                  <c:v>2</c:v>
                </c:pt>
                <c:pt idx="3">
                  <c:v>7</c:v>
                </c:pt>
                <c:pt idx="4">
                  <c:v>10</c:v>
                </c:pt>
                <c:pt idx="5">
                  <c:v>3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1</c:v>
                </c:pt>
                <c:pt idx="10">
                  <c:v>9</c:v>
                </c:pt>
                <c:pt idx="11">
                  <c:v>4</c:v>
                </c:pt>
                <c:pt idx="12">
                  <c:v>7</c:v>
                </c:pt>
                <c:pt idx="13">
                  <c:v>10</c:v>
                </c:pt>
                <c:pt idx="14">
                  <c:v>2</c:v>
                </c:pt>
                <c:pt idx="15">
                  <c:v>8</c:v>
                </c:pt>
                <c:pt idx="16">
                  <c:v>5</c:v>
                </c:pt>
                <c:pt idx="17">
                  <c:v>3</c:v>
                </c:pt>
                <c:pt idx="18">
                  <c:v>6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5-42BE-A39B-C353157C9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584319"/>
        <c:axId val="1425646895"/>
      </c:barChart>
      <c:catAx>
        <c:axId val="11145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46895"/>
        <c:crosses val="autoZero"/>
        <c:auto val="1"/>
        <c:lblAlgn val="ctr"/>
        <c:lblOffset val="100"/>
        <c:noMultiLvlLbl val="0"/>
      </c:catAx>
      <c:valAx>
        <c:axId val="14256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Philosophy Test</a:t>
            </a:r>
          </a:p>
        </c:rich>
      </c:tx>
      <c:layout>
        <c:manualLayout>
          <c:xMode val="edge"/>
          <c:yMode val="edge"/>
          <c:x val="0.2907637795275590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Sheet1!$B$4:$B$23</c:f>
              <c:strCache>
                <c:ptCount val="20"/>
                <c:pt idx="0">
                  <c:v>Aarav</c:v>
                </c:pt>
                <c:pt idx="1">
                  <c:v>Vivaan</c:v>
                </c:pt>
                <c:pt idx="2">
                  <c:v>Aditya</c:v>
                </c:pt>
                <c:pt idx="3">
                  <c:v>Arjun</c:v>
                </c:pt>
                <c:pt idx="4">
                  <c:v>Rohan</c:v>
                </c:pt>
                <c:pt idx="5">
                  <c:v>Rahul</c:v>
                </c:pt>
                <c:pt idx="6">
                  <c:v>Karan</c:v>
                </c:pt>
                <c:pt idx="7">
                  <c:v>Akash</c:v>
                </c:pt>
                <c:pt idx="8">
                  <c:v>Yash</c:v>
                </c:pt>
                <c:pt idx="9">
                  <c:v>Aryan</c:v>
                </c:pt>
                <c:pt idx="10">
                  <c:v>Kabir</c:v>
                </c:pt>
                <c:pt idx="11">
                  <c:v>Ritvik</c:v>
                </c:pt>
                <c:pt idx="12">
                  <c:v>Dev</c:v>
                </c:pt>
                <c:pt idx="13">
                  <c:v>Manav</c:v>
                </c:pt>
                <c:pt idx="14">
                  <c:v>Nikhil</c:v>
                </c:pt>
                <c:pt idx="15">
                  <c:v>Varun</c:v>
                </c:pt>
                <c:pt idx="16">
                  <c:v>Ankit</c:v>
                </c:pt>
                <c:pt idx="17">
                  <c:v>Harsh</c:v>
                </c:pt>
                <c:pt idx="18">
                  <c:v>Raj</c:v>
                </c:pt>
                <c:pt idx="19">
                  <c:v>Sahil</c:v>
                </c:pt>
              </c:strCache>
            </c:strRef>
          </c:cat>
          <c:val>
            <c:numRef>
              <c:f>Sheet1!$D$4:$D$23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19</c:v>
                </c:pt>
                <c:pt idx="3">
                  <c:v>4</c:v>
                </c:pt>
                <c:pt idx="4">
                  <c:v>12</c:v>
                </c:pt>
                <c:pt idx="5">
                  <c:v>8</c:v>
                </c:pt>
                <c:pt idx="6">
                  <c:v>20</c:v>
                </c:pt>
                <c:pt idx="7">
                  <c:v>11</c:v>
                </c:pt>
                <c:pt idx="8">
                  <c:v>6</c:v>
                </c:pt>
                <c:pt idx="9">
                  <c:v>17</c:v>
                </c:pt>
                <c:pt idx="10">
                  <c:v>3</c:v>
                </c:pt>
                <c:pt idx="11">
                  <c:v>14</c:v>
                </c:pt>
                <c:pt idx="12">
                  <c:v>9</c:v>
                </c:pt>
                <c:pt idx="13">
                  <c:v>18</c:v>
                </c:pt>
                <c:pt idx="14">
                  <c:v>5</c:v>
                </c:pt>
                <c:pt idx="15">
                  <c:v>13</c:v>
                </c:pt>
                <c:pt idx="16">
                  <c:v>10</c:v>
                </c:pt>
                <c:pt idx="17">
                  <c:v>16</c:v>
                </c:pt>
                <c:pt idx="18">
                  <c:v>2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4-4DC9-9CEF-82EEC72B4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076127"/>
        <c:axId val="1422586543"/>
      </c:barChart>
      <c:catAx>
        <c:axId val="18770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86543"/>
        <c:crosses val="autoZero"/>
        <c:auto val="1"/>
        <c:lblAlgn val="ctr"/>
        <c:lblOffset val="100"/>
        <c:noMultiLvlLbl val="0"/>
      </c:catAx>
      <c:valAx>
        <c:axId val="14225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7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Sheet1!$B$4:$B$23</c:f>
              <c:strCache>
                <c:ptCount val="20"/>
                <c:pt idx="0">
                  <c:v>Aarav</c:v>
                </c:pt>
                <c:pt idx="1">
                  <c:v>Vivaan</c:v>
                </c:pt>
                <c:pt idx="2">
                  <c:v>Aditya</c:v>
                </c:pt>
                <c:pt idx="3">
                  <c:v>Arjun</c:v>
                </c:pt>
                <c:pt idx="4">
                  <c:v>Rohan</c:v>
                </c:pt>
                <c:pt idx="5">
                  <c:v>Rahul</c:v>
                </c:pt>
                <c:pt idx="6">
                  <c:v>Karan</c:v>
                </c:pt>
                <c:pt idx="7">
                  <c:v>Akash</c:v>
                </c:pt>
                <c:pt idx="8">
                  <c:v>Yash</c:v>
                </c:pt>
                <c:pt idx="9">
                  <c:v>Aryan</c:v>
                </c:pt>
                <c:pt idx="10">
                  <c:v>Kabir</c:v>
                </c:pt>
                <c:pt idx="11">
                  <c:v>Ritvik</c:v>
                </c:pt>
                <c:pt idx="12">
                  <c:v>Dev</c:v>
                </c:pt>
                <c:pt idx="13">
                  <c:v>Manav</c:v>
                </c:pt>
                <c:pt idx="14">
                  <c:v>Nikhil</c:v>
                </c:pt>
                <c:pt idx="15">
                  <c:v>Varun</c:v>
                </c:pt>
                <c:pt idx="16">
                  <c:v>Ankit</c:v>
                </c:pt>
                <c:pt idx="17">
                  <c:v>Harsh</c:v>
                </c:pt>
                <c:pt idx="18">
                  <c:v>Raj</c:v>
                </c:pt>
                <c:pt idx="19">
                  <c:v>Sahil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43</c:v>
                </c:pt>
                <c:pt idx="1">
                  <c:v>86</c:v>
                </c:pt>
                <c:pt idx="2">
                  <c:v>57</c:v>
                </c:pt>
                <c:pt idx="3">
                  <c:v>91</c:v>
                </c:pt>
                <c:pt idx="4">
                  <c:v>68</c:v>
                </c:pt>
                <c:pt idx="5">
                  <c:v>35</c:v>
                </c:pt>
                <c:pt idx="6">
                  <c:v>74</c:v>
                </c:pt>
                <c:pt idx="7">
                  <c:v>52</c:v>
                </c:pt>
                <c:pt idx="8">
                  <c:v>97</c:v>
                </c:pt>
                <c:pt idx="9">
                  <c:v>46</c:v>
                </c:pt>
                <c:pt idx="10">
                  <c:v>81</c:v>
                </c:pt>
                <c:pt idx="11">
                  <c:v>63</c:v>
                </c:pt>
                <c:pt idx="12">
                  <c:v>29</c:v>
                </c:pt>
                <c:pt idx="13">
                  <c:v>88</c:v>
                </c:pt>
                <c:pt idx="14">
                  <c:v>71</c:v>
                </c:pt>
                <c:pt idx="15">
                  <c:v>55</c:v>
                </c:pt>
                <c:pt idx="16">
                  <c:v>100</c:v>
                </c:pt>
                <c:pt idx="17">
                  <c:v>39</c:v>
                </c:pt>
                <c:pt idx="18">
                  <c:v>92</c:v>
                </c:pt>
                <c:pt idx="1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D-415C-A6CC-0D3B5732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537311"/>
        <c:axId val="1422545263"/>
      </c:barChart>
      <c:catAx>
        <c:axId val="18715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45263"/>
        <c:crosses val="autoZero"/>
        <c:auto val="1"/>
        <c:lblAlgn val="ctr"/>
        <c:lblOffset val="100"/>
        <c:noMultiLvlLbl val="0"/>
      </c:catAx>
      <c:valAx>
        <c:axId val="142254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3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Drug</a:t>
            </a:r>
            <a:r>
              <a:rPr lang="en-IN" baseline="0"/>
              <a:t>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Sheet1!$B$4:$B$23</c:f>
              <c:strCache>
                <c:ptCount val="20"/>
                <c:pt idx="0">
                  <c:v>Aarav</c:v>
                </c:pt>
                <c:pt idx="1">
                  <c:v>Vivaan</c:v>
                </c:pt>
                <c:pt idx="2">
                  <c:v>Aditya</c:v>
                </c:pt>
                <c:pt idx="3">
                  <c:v>Arjun</c:v>
                </c:pt>
                <c:pt idx="4">
                  <c:v>Rohan</c:v>
                </c:pt>
                <c:pt idx="5">
                  <c:v>Rahul</c:v>
                </c:pt>
                <c:pt idx="6">
                  <c:v>Karan</c:v>
                </c:pt>
                <c:pt idx="7">
                  <c:v>Akash</c:v>
                </c:pt>
                <c:pt idx="8">
                  <c:v>Yash</c:v>
                </c:pt>
                <c:pt idx="9">
                  <c:v>Aryan</c:v>
                </c:pt>
                <c:pt idx="10">
                  <c:v>Kabir</c:v>
                </c:pt>
                <c:pt idx="11">
                  <c:v>Ritvik</c:v>
                </c:pt>
                <c:pt idx="12">
                  <c:v>Dev</c:v>
                </c:pt>
                <c:pt idx="13">
                  <c:v>Manav</c:v>
                </c:pt>
                <c:pt idx="14">
                  <c:v>Nikhil</c:v>
                </c:pt>
                <c:pt idx="15">
                  <c:v>Varun</c:v>
                </c:pt>
                <c:pt idx="16">
                  <c:v>Ankit</c:v>
                </c:pt>
                <c:pt idx="17">
                  <c:v>Harsh</c:v>
                </c:pt>
                <c:pt idx="18">
                  <c:v>Raj</c:v>
                </c:pt>
                <c:pt idx="19">
                  <c:v>Sahil</c:v>
                </c:pt>
              </c:strCache>
            </c:strRef>
          </c:cat>
          <c:val>
            <c:numRef>
              <c:f>Sheet1!$F$4:$F$23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FA5-A596-E9890DE3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866911"/>
        <c:axId val="1425706415"/>
      </c:barChart>
      <c:catAx>
        <c:axId val="187886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06415"/>
        <c:crosses val="autoZero"/>
        <c:auto val="1"/>
        <c:lblAlgn val="ctr"/>
        <c:lblOffset val="100"/>
        <c:noMultiLvlLbl val="0"/>
      </c:catAx>
      <c:valAx>
        <c:axId val="14257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6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149087</xdr:colOff>
      <xdr:row>0</xdr:row>
      <xdr:rowOff>496128</xdr:rowOff>
    </xdr:from>
    <xdr:to>
      <xdr:col>20</xdr:col>
      <xdr:colOff>430696</xdr:colOff>
      <xdr:row>10</xdr:row>
      <xdr:rowOff>58806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04166-9F82-09D7-6682-6B68948AB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165652</xdr:colOff>
      <xdr:row>11</xdr:row>
      <xdr:rowOff>15737</xdr:rowOff>
    </xdr:from>
    <xdr:to>
      <xdr:col>20</xdr:col>
      <xdr:colOff>447261</xdr:colOff>
      <xdr:row>26</xdr:row>
      <xdr:rowOff>25676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D46597-E509-1156-5615-7FC5F1879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16565</xdr:colOff>
      <xdr:row>28</xdr:row>
      <xdr:rowOff>57150</xdr:rowOff>
    </xdr:from>
    <xdr:to>
      <xdr:col>9</xdr:col>
      <xdr:colOff>240195</xdr:colOff>
      <xdr:row>43</xdr:row>
      <xdr:rowOff>67089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AD053-AAB3-F318-D23C-7A5DFE3E8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372717</xdr:colOff>
      <xdr:row>28</xdr:row>
      <xdr:rowOff>90280</xdr:rowOff>
    </xdr:from>
    <xdr:to>
      <xdr:col>17</xdr:col>
      <xdr:colOff>41413</xdr:colOff>
      <xdr:row>43</xdr:row>
      <xdr:rowOff>100219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05DFE-A463-2CD5-8437-B22EE48EA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02D2-B90E-4658-B763-FE105C613D5B}">
  <dimension ref="A1:M27"/>
  <sheetViews>
    <sheetView tabSelected="1" zoomScale="52" zoomScaleNormal="81" workbookViewId="0">
      <selection activeCell="U38" sqref="U38"/>
    </sheetView>
  </sheetViews>
  <sheetFormatPr defaultRowHeight="14.4" x14ac:dyDescent="0.3"/>
  <cols>
    <col min="1" max="1" width="13.109375" customWidth="1"/>
    <col min="2" max="2" width="13.77734375" customWidth="1"/>
    <col min="3" max="3" width="5" customWidth="1"/>
    <col min="4" max="4" width="5.77734375" customWidth="1"/>
    <col min="5" max="5" width="7.21875" customWidth="1"/>
    <col min="6" max="6" width="4.77734375" customWidth="1"/>
  </cols>
  <sheetData>
    <row r="1" spans="1:13" ht="121.2" x14ac:dyDescent="0.3">
      <c r="A1" s="1" t="s">
        <v>0</v>
      </c>
      <c r="C1" s="2" t="s">
        <v>43</v>
      </c>
      <c r="D1" s="2" t="s">
        <v>44</v>
      </c>
      <c r="E1" s="2" t="s">
        <v>45</v>
      </c>
      <c r="F1" s="2" t="s">
        <v>46</v>
      </c>
      <c r="H1" s="2" t="s">
        <v>43</v>
      </c>
      <c r="I1" s="2" t="s">
        <v>44</v>
      </c>
      <c r="J1" s="2" t="s">
        <v>45</v>
      </c>
      <c r="K1" s="2" t="s">
        <v>46</v>
      </c>
      <c r="M1" s="2" t="s">
        <v>48</v>
      </c>
    </row>
    <row r="2" spans="1:13" x14ac:dyDescent="0.3">
      <c r="B2" s="1" t="s">
        <v>47</v>
      </c>
      <c r="C2" s="1">
        <v>10</v>
      </c>
      <c r="D2" s="1">
        <v>20</v>
      </c>
      <c r="E2" s="1">
        <v>100</v>
      </c>
      <c r="F2" s="1">
        <v>1</v>
      </c>
    </row>
    <row r="3" spans="1:13" x14ac:dyDescent="0.3">
      <c r="A3" s="1" t="s">
        <v>1</v>
      </c>
      <c r="B3" s="1" t="s">
        <v>2</v>
      </c>
    </row>
    <row r="4" spans="1:13" x14ac:dyDescent="0.3">
      <c r="A4" t="s">
        <v>3</v>
      </c>
      <c r="B4" t="s">
        <v>23</v>
      </c>
      <c r="C4">
        <v>4</v>
      </c>
      <c r="D4">
        <v>7</v>
      </c>
      <c r="E4">
        <v>43</v>
      </c>
      <c r="F4">
        <v>1</v>
      </c>
      <c r="H4" s="3">
        <f>C4/C$2</f>
        <v>0.4</v>
      </c>
      <c r="I4" s="3">
        <f>D4/D$2</f>
        <v>0.35</v>
      </c>
      <c r="J4" s="3">
        <f>E4/E$2</f>
        <v>0.43</v>
      </c>
      <c r="K4" s="3">
        <f>F4/F$2</f>
        <v>1</v>
      </c>
      <c r="M4" s="3" t="b">
        <f>OR(H4&lt;0.5,I4&lt;0.5,J4&lt;0.5,K4&lt;0.5)</f>
        <v>1</v>
      </c>
    </row>
    <row r="5" spans="1:13" x14ac:dyDescent="0.3">
      <c r="A5" t="s">
        <v>4</v>
      </c>
      <c r="B5" t="s">
        <v>24</v>
      </c>
      <c r="C5">
        <v>9</v>
      </c>
      <c r="D5">
        <v>15</v>
      </c>
      <c r="E5">
        <v>86</v>
      </c>
      <c r="F5">
        <v>1</v>
      </c>
      <c r="H5" s="3">
        <f t="shared" ref="H5:H23" si="0">C5/C$2</f>
        <v>0.9</v>
      </c>
      <c r="I5" s="3">
        <f t="shared" ref="I5:I23" si="1">D5/D$2</f>
        <v>0.75</v>
      </c>
      <c r="J5" s="3">
        <f t="shared" ref="J5:J23" si="2">E5/E$2</f>
        <v>0.86</v>
      </c>
      <c r="K5" s="3">
        <f t="shared" ref="K5:K23" si="3">F5/F$2</f>
        <v>1</v>
      </c>
      <c r="M5" s="3" t="b">
        <f t="shared" ref="M5:M23" si="4">OR(H5&lt;0.5,I5&lt;0.5,J5&lt;0.5,K5&lt;0.5)</f>
        <v>0</v>
      </c>
    </row>
    <row r="6" spans="1:13" x14ac:dyDescent="0.3">
      <c r="A6" t="s">
        <v>5</v>
      </c>
      <c r="B6" t="s">
        <v>25</v>
      </c>
      <c r="C6">
        <v>2</v>
      </c>
      <c r="D6">
        <v>19</v>
      </c>
      <c r="E6">
        <v>57</v>
      </c>
      <c r="F6">
        <v>1</v>
      </c>
      <c r="H6" s="3">
        <f t="shared" si="0"/>
        <v>0.2</v>
      </c>
      <c r="I6" s="3">
        <f t="shared" si="1"/>
        <v>0.95</v>
      </c>
      <c r="J6" s="3">
        <f t="shared" si="2"/>
        <v>0.56999999999999995</v>
      </c>
      <c r="K6" s="3">
        <f t="shared" si="3"/>
        <v>1</v>
      </c>
      <c r="M6" s="3" t="b">
        <f t="shared" si="4"/>
        <v>1</v>
      </c>
    </row>
    <row r="7" spans="1:13" x14ac:dyDescent="0.3">
      <c r="A7" t="s">
        <v>6</v>
      </c>
      <c r="B7" t="s">
        <v>26</v>
      </c>
      <c r="C7">
        <v>7</v>
      </c>
      <c r="D7">
        <v>4</v>
      </c>
      <c r="E7">
        <v>91</v>
      </c>
      <c r="F7">
        <v>1</v>
      </c>
      <c r="H7" s="3">
        <f t="shared" si="0"/>
        <v>0.7</v>
      </c>
      <c r="I7" s="3">
        <f t="shared" si="1"/>
        <v>0.2</v>
      </c>
      <c r="J7" s="3">
        <f t="shared" si="2"/>
        <v>0.91</v>
      </c>
      <c r="K7" s="3">
        <f t="shared" si="3"/>
        <v>1</v>
      </c>
      <c r="M7" s="3" t="b">
        <f t="shared" si="4"/>
        <v>1</v>
      </c>
    </row>
    <row r="8" spans="1:13" x14ac:dyDescent="0.3">
      <c r="A8" t="s">
        <v>7</v>
      </c>
      <c r="B8" t="s">
        <v>27</v>
      </c>
      <c r="C8">
        <v>10</v>
      </c>
      <c r="D8">
        <v>12</v>
      </c>
      <c r="E8">
        <v>68</v>
      </c>
      <c r="F8">
        <v>0</v>
      </c>
      <c r="H8" s="3">
        <f t="shared" si="0"/>
        <v>1</v>
      </c>
      <c r="I8" s="3">
        <f t="shared" si="1"/>
        <v>0.6</v>
      </c>
      <c r="J8" s="3">
        <f t="shared" si="2"/>
        <v>0.68</v>
      </c>
      <c r="K8" s="3">
        <f t="shared" si="3"/>
        <v>0</v>
      </c>
      <c r="M8" s="3" t="b">
        <f t="shared" si="4"/>
        <v>1</v>
      </c>
    </row>
    <row r="9" spans="1:13" x14ac:dyDescent="0.3">
      <c r="A9" t="s">
        <v>8</v>
      </c>
      <c r="B9" t="s">
        <v>28</v>
      </c>
      <c r="C9">
        <v>3</v>
      </c>
      <c r="D9">
        <v>8</v>
      </c>
      <c r="E9">
        <v>35</v>
      </c>
      <c r="F9">
        <v>1</v>
      </c>
      <c r="H9" s="3">
        <f t="shared" si="0"/>
        <v>0.3</v>
      </c>
      <c r="I9" s="3">
        <f t="shared" si="1"/>
        <v>0.4</v>
      </c>
      <c r="J9" s="3">
        <f t="shared" si="2"/>
        <v>0.35</v>
      </c>
      <c r="K9" s="3">
        <f t="shared" si="3"/>
        <v>1</v>
      </c>
      <c r="M9" s="3" t="b">
        <f t="shared" si="4"/>
        <v>1</v>
      </c>
    </row>
    <row r="10" spans="1:13" x14ac:dyDescent="0.3">
      <c r="A10" t="s">
        <v>9</v>
      </c>
      <c r="B10" t="s">
        <v>29</v>
      </c>
      <c r="C10">
        <v>8</v>
      </c>
      <c r="D10">
        <v>20</v>
      </c>
      <c r="E10">
        <v>74</v>
      </c>
      <c r="F10">
        <v>0</v>
      </c>
      <c r="H10" s="3">
        <f t="shared" si="0"/>
        <v>0.8</v>
      </c>
      <c r="I10" s="3">
        <f t="shared" si="1"/>
        <v>1</v>
      </c>
      <c r="J10" s="3">
        <f t="shared" si="2"/>
        <v>0.74</v>
      </c>
      <c r="K10" s="3">
        <f t="shared" si="3"/>
        <v>0</v>
      </c>
      <c r="M10" s="3" t="b">
        <f t="shared" si="4"/>
        <v>1</v>
      </c>
    </row>
    <row r="11" spans="1:13" x14ac:dyDescent="0.3">
      <c r="A11" t="s">
        <v>10</v>
      </c>
      <c r="B11" t="s">
        <v>30</v>
      </c>
      <c r="C11">
        <v>5</v>
      </c>
      <c r="D11">
        <v>11</v>
      </c>
      <c r="E11">
        <v>52</v>
      </c>
      <c r="F11">
        <v>1</v>
      </c>
      <c r="H11" s="3">
        <f t="shared" si="0"/>
        <v>0.5</v>
      </c>
      <c r="I11" s="3">
        <f t="shared" si="1"/>
        <v>0.55000000000000004</v>
      </c>
      <c r="J11" s="3">
        <f t="shared" si="2"/>
        <v>0.52</v>
      </c>
      <c r="K11" s="3">
        <f t="shared" si="3"/>
        <v>1</v>
      </c>
      <c r="M11" s="3" t="b">
        <f t="shared" si="4"/>
        <v>0</v>
      </c>
    </row>
    <row r="12" spans="1:13" x14ac:dyDescent="0.3">
      <c r="A12" t="s">
        <v>11</v>
      </c>
      <c r="B12" t="s">
        <v>31</v>
      </c>
      <c r="C12">
        <v>6</v>
      </c>
      <c r="D12">
        <v>6</v>
      </c>
      <c r="E12">
        <v>97</v>
      </c>
      <c r="F12">
        <v>1</v>
      </c>
      <c r="H12" s="3">
        <f t="shared" si="0"/>
        <v>0.6</v>
      </c>
      <c r="I12" s="3">
        <f t="shared" si="1"/>
        <v>0.3</v>
      </c>
      <c r="J12" s="3">
        <f t="shared" si="2"/>
        <v>0.97</v>
      </c>
      <c r="K12" s="3">
        <f t="shared" si="3"/>
        <v>1</v>
      </c>
      <c r="M12" s="3" t="b">
        <f t="shared" si="4"/>
        <v>1</v>
      </c>
    </row>
    <row r="13" spans="1:13" x14ac:dyDescent="0.3">
      <c r="A13" t="s">
        <v>12</v>
      </c>
      <c r="B13" t="s">
        <v>32</v>
      </c>
      <c r="C13">
        <v>1</v>
      </c>
      <c r="D13">
        <v>17</v>
      </c>
      <c r="E13">
        <v>46</v>
      </c>
      <c r="F13">
        <v>0</v>
      </c>
      <c r="H13" s="3">
        <f t="shared" si="0"/>
        <v>0.1</v>
      </c>
      <c r="I13" s="3">
        <f t="shared" si="1"/>
        <v>0.85</v>
      </c>
      <c r="J13" s="3">
        <f t="shared" si="2"/>
        <v>0.46</v>
      </c>
      <c r="K13" s="3">
        <f t="shared" si="3"/>
        <v>0</v>
      </c>
      <c r="M13" s="3" t="b">
        <f t="shared" si="4"/>
        <v>1</v>
      </c>
    </row>
    <row r="14" spans="1:13" x14ac:dyDescent="0.3">
      <c r="A14" t="s">
        <v>13</v>
      </c>
      <c r="B14" t="s">
        <v>33</v>
      </c>
      <c r="C14">
        <v>9</v>
      </c>
      <c r="D14">
        <v>3</v>
      </c>
      <c r="E14">
        <v>81</v>
      </c>
      <c r="F14">
        <v>1</v>
      </c>
      <c r="H14" s="3">
        <f t="shared" si="0"/>
        <v>0.9</v>
      </c>
      <c r="I14" s="3">
        <f t="shared" si="1"/>
        <v>0.15</v>
      </c>
      <c r="J14" s="3">
        <f t="shared" si="2"/>
        <v>0.81</v>
      </c>
      <c r="K14" s="3">
        <f t="shared" si="3"/>
        <v>1</v>
      </c>
      <c r="M14" s="3" t="b">
        <f t="shared" si="4"/>
        <v>1</v>
      </c>
    </row>
    <row r="15" spans="1:13" x14ac:dyDescent="0.3">
      <c r="A15" t="s">
        <v>14</v>
      </c>
      <c r="B15" t="s">
        <v>34</v>
      </c>
      <c r="C15">
        <v>4</v>
      </c>
      <c r="D15">
        <v>14</v>
      </c>
      <c r="E15">
        <v>63</v>
      </c>
      <c r="F15">
        <v>0</v>
      </c>
      <c r="H15" s="3">
        <f t="shared" si="0"/>
        <v>0.4</v>
      </c>
      <c r="I15" s="3">
        <f t="shared" si="1"/>
        <v>0.7</v>
      </c>
      <c r="J15" s="3">
        <f t="shared" si="2"/>
        <v>0.63</v>
      </c>
      <c r="K15" s="3">
        <f t="shared" si="3"/>
        <v>0</v>
      </c>
      <c r="M15" s="3" t="b">
        <f t="shared" si="4"/>
        <v>1</v>
      </c>
    </row>
    <row r="16" spans="1:13" x14ac:dyDescent="0.3">
      <c r="A16" t="s">
        <v>15</v>
      </c>
      <c r="B16" t="s">
        <v>35</v>
      </c>
      <c r="C16">
        <v>7</v>
      </c>
      <c r="D16">
        <v>9</v>
      </c>
      <c r="E16">
        <v>29</v>
      </c>
      <c r="F16">
        <v>1</v>
      </c>
      <c r="H16" s="3">
        <f t="shared" si="0"/>
        <v>0.7</v>
      </c>
      <c r="I16" s="3">
        <f t="shared" si="1"/>
        <v>0.45</v>
      </c>
      <c r="J16" s="3">
        <f t="shared" si="2"/>
        <v>0.28999999999999998</v>
      </c>
      <c r="K16" s="3">
        <f t="shared" si="3"/>
        <v>1</v>
      </c>
      <c r="M16" s="3" t="b">
        <f t="shared" si="4"/>
        <v>1</v>
      </c>
    </row>
    <row r="17" spans="1:13" x14ac:dyDescent="0.3">
      <c r="A17" t="s">
        <v>16</v>
      </c>
      <c r="B17" t="s">
        <v>36</v>
      </c>
      <c r="C17">
        <v>10</v>
      </c>
      <c r="D17">
        <v>18</v>
      </c>
      <c r="E17">
        <v>88</v>
      </c>
      <c r="F17">
        <v>1</v>
      </c>
      <c r="H17" s="3">
        <f t="shared" si="0"/>
        <v>1</v>
      </c>
      <c r="I17" s="3">
        <f t="shared" si="1"/>
        <v>0.9</v>
      </c>
      <c r="J17" s="3">
        <f t="shared" si="2"/>
        <v>0.88</v>
      </c>
      <c r="K17" s="3">
        <f t="shared" si="3"/>
        <v>1</v>
      </c>
      <c r="M17" s="3" t="b">
        <f t="shared" si="4"/>
        <v>0</v>
      </c>
    </row>
    <row r="18" spans="1:13" x14ac:dyDescent="0.3">
      <c r="A18" t="s">
        <v>17</v>
      </c>
      <c r="B18" t="s">
        <v>37</v>
      </c>
      <c r="C18">
        <v>2</v>
      </c>
      <c r="D18">
        <v>5</v>
      </c>
      <c r="E18">
        <v>71</v>
      </c>
      <c r="F18">
        <v>0</v>
      </c>
      <c r="H18" s="3">
        <f t="shared" si="0"/>
        <v>0.2</v>
      </c>
      <c r="I18" s="3">
        <f t="shared" si="1"/>
        <v>0.25</v>
      </c>
      <c r="J18" s="3">
        <f t="shared" si="2"/>
        <v>0.71</v>
      </c>
      <c r="K18" s="3">
        <f t="shared" si="3"/>
        <v>0</v>
      </c>
      <c r="M18" s="3" t="b">
        <f t="shared" si="4"/>
        <v>1</v>
      </c>
    </row>
    <row r="19" spans="1:13" x14ac:dyDescent="0.3">
      <c r="A19" t="s">
        <v>18</v>
      </c>
      <c r="B19" t="s">
        <v>38</v>
      </c>
      <c r="C19">
        <v>8</v>
      </c>
      <c r="D19">
        <v>13</v>
      </c>
      <c r="E19">
        <v>55</v>
      </c>
      <c r="F19">
        <v>1</v>
      </c>
      <c r="H19" s="3">
        <f t="shared" si="0"/>
        <v>0.8</v>
      </c>
      <c r="I19" s="3">
        <f t="shared" si="1"/>
        <v>0.65</v>
      </c>
      <c r="J19" s="3">
        <f t="shared" si="2"/>
        <v>0.55000000000000004</v>
      </c>
      <c r="K19" s="3">
        <f t="shared" si="3"/>
        <v>1</v>
      </c>
      <c r="M19" s="3" t="b">
        <f t="shared" si="4"/>
        <v>0</v>
      </c>
    </row>
    <row r="20" spans="1:13" x14ac:dyDescent="0.3">
      <c r="A20" t="s">
        <v>19</v>
      </c>
      <c r="B20" t="s">
        <v>39</v>
      </c>
      <c r="C20">
        <v>5</v>
      </c>
      <c r="D20">
        <v>10</v>
      </c>
      <c r="E20">
        <v>100</v>
      </c>
      <c r="F20">
        <v>1</v>
      </c>
      <c r="H20" s="3">
        <f t="shared" si="0"/>
        <v>0.5</v>
      </c>
      <c r="I20" s="3">
        <f t="shared" si="1"/>
        <v>0.5</v>
      </c>
      <c r="J20" s="3">
        <f t="shared" si="2"/>
        <v>1</v>
      </c>
      <c r="K20" s="3">
        <f t="shared" si="3"/>
        <v>1</v>
      </c>
      <c r="M20" s="3" t="b">
        <f t="shared" si="4"/>
        <v>0</v>
      </c>
    </row>
    <row r="21" spans="1:13" x14ac:dyDescent="0.3">
      <c r="A21" t="s">
        <v>20</v>
      </c>
      <c r="B21" t="s">
        <v>40</v>
      </c>
      <c r="C21">
        <v>3</v>
      </c>
      <c r="D21">
        <v>16</v>
      </c>
      <c r="E21">
        <v>39</v>
      </c>
      <c r="F21">
        <v>1</v>
      </c>
      <c r="H21" s="3">
        <f t="shared" si="0"/>
        <v>0.3</v>
      </c>
      <c r="I21" s="3">
        <f t="shared" si="1"/>
        <v>0.8</v>
      </c>
      <c r="J21" s="3">
        <f t="shared" si="2"/>
        <v>0.39</v>
      </c>
      <c r="K21" s="3">
        <f t="shared" si="3"/>
        <v>1</v>
      </c>
      <c r="M21" s="3" t="b">
        <f t="shared" si="4"/>
        <v>1</v>
      </c>
    </row>
    <row r="22" spans="1:13" x14ac:dyDescent="0.3">
      <c r="A22" t="s">
        <v>21</v>
      </c>
      <c r="B22" t="s">
        <v>41</v>
      </c>
      <c r="C22">
        <v>6</v>
      </c>
      <c r="D22">
        <v>2</v>
      </c>
      <c r="E22">
        <v>92</v>
      </c>
      <c r="F22">
        <v>1</v>
      </c>
      <c r="H22" s="3">
        <f t="shared" si="0"/>
        <v>0.6</v>
      </c>
      <c r="I22" s="3">
        <f t="shared" si="1"/>
        <v>0.1</v>
      </c>
      <c r="J22" s="3">
        <f t="shared" si="2"/>
        <v>0.92</v>
      </c>
      <c r="K22" s="3">
        <f t="shared" si="3"/>
        <v>1</v>
      </c>
      <c r="M22" s="3" t="b">
        <f t="shared" si="4"/>
        <v>1</v>
      </c>
    </row>
    <row r="23" spans="1:13" x14ac:dyDescent="0.3">
      <c r="A23" t="s">
        <v>22</v>
      </c>
      <c r="B23" t="s">
        <v>42</v>
      </c>
      <c r="C23">
        <v>9</v>
      </c>
      <c r="D23">
        <v>7</v>
      </c>
      <c r="E23">
        <v>61</v>
      </c>
      <c r="F23">
        <v>0</v>
      </c>
      <c r="H23" s="3">
        <f t="shared" si="0"/>
        <v>0.9</v>
      </c>
      <c r="I23" s="3">
        <f t="shared" si="1"/>
        <v>0.35</v>
      </c>
      <c r="J23" s="3">
        <f t="shared" si="2"/>
        <v>0.61</v>
      </c>
      <c r="K23" s="3">
        <f t="shared" si="3"/>
        <v>0</v>
      </c>
      <c r="M23" s="3" t="b">
        <f t="shared" si="4"/>
        <v>1</v>
      </c>
    </row>
    <row r="25" spans="1:13" x14ac:dyDescent="0.3">
      <c r="B25" s="1" t="s">
        <v>49</v>
      </c>
      <c r="C25">
        <f>MAX(C4:C23)</f>
        <v>10</v>
      </c>
      <c r="D25">
        <f>MAX(D4:D23)</f>
        <v>20</v>
      </c>
      <c r="E25">
        <f>MAX(E4:E23)</f>
        <v>100</v>
      </c>
      <c r="F25">
        <f>MAX(F4:F23)</f>
        <v>1</v>
      </c>
      <c r="H25" s="3">
        <f>MAX(H4:H23)</f>
        <v>1</v>
      </c>
      <c r="I25" s="3">
        <f>MAX(I4:I23)</f>
        <v>1</v>
      </c>
      <c r="J25" s="3">
        <f>MAX(J4:J23)</f>
        <v>1</v>
      </c>
      <c r="K25" s="3">
        <f>MAX(K4:K23)</f>
        <v>1</v>
      </c>
    </row>
    <row r="26" spans="1:13" x14ac:dyDescent="0.3">
      <c r="B26" s="1" t="s">
        <v>50</v>
      </c>
      <c r="C26">
        <f>MIN(C4:C23)</f>
        <v>1</v>
      </c>
      <c r="D26">
        <f>MIN(D4:D23)</f>
        <v>2</v>
      </c>
      <c r="E26">
        <f>MIN(E4:E23)</f>
        <v>29</v>
      </c>
      <c r="F26">
        <f>MIN(F4:F23)</f>
        <v>0</v>
      </c>
      <c r="H26" s="3">
        <f>MIN(H4:H23)</f>
        <v>0.1</v>
      </c>
      <c r="I26" s="3">
        <f>MIN(I4:I23)</f>
        <v>0.1</v>
      </c>
      <c r="J26" s="3">
        <f>MIN(J4:J23)</f>
        <v>0.28999999999999998</v>
      </c>
      <c r="K26" s="3">
        <f>MIN(K4:K23)</f>
        <v>0</v>
      </c>
    </row>
    <row r="27" spans="1:13" x14ac:dyDescent="0.3">
      <c r="B27" s="1" t="s">
        <v>51</v>
      </c>
      <c r="C27">
        <f>AVERAGE(C4:C23)</f>
        <v>5.9</v>
      </c>
      <c r="D27">
        <f>AVERAGE(D4:D23)</f>
        <v>10.8</v>
      </c>
      <c r="E27">
        <f>AVERAGE(E4:E23)</f>
        <v>66.400000000000006</v>
      </c>
      <c r="F27">
        <f>AVERAGE(F4:F23)</f>
        <v>0.7</v>
      </c>
      <c r="H27" s="3">
        <f>AVERAGE(H4:H23)</f>
        <v>0.59000000000000008</v>
      </c>
      <c r="I27" s="3">
        <f>AVERAGE(I4:I23)</f>
        <v>0.54</v>
      </c>
      <c r="J27" s="3">
        <f>AVERAGE(J4:J23)</f>
        <v>0.66400000000000015</v>
      </c>
      <c r="K27" s="3">
        <f>AVERAGE(K4:K23)</f>
        <v>0.7</v>
      </c>
    </row>
  </sheetData>
  <conditionalFormatting sqref="C4:C2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3 M4:M23">
    <cfRule type="cellIs" dxfId="2" priority="2" operator="lessThan">
      <formula>0.5</formula>
    </cfRule>
  </conditionalFormatting>
  <conditionalFormatting sqref="M4:M23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2026-09-10T10:16:35Z</dcterms:created>
  <dcterms:modified xsi:type="dcterms:W3CDTF">2026-09-10T13:17:42Z</dcterms:modified>
</cp:coreProperties>
</file>