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zi\Downloads\"/>
    </mc:Choice>
  </mc:AlternateContent>
  <xr:revisionPtr revIDLastSave="0" documentId="13_ncr:1_{1B41D0CA-3E3B-43A6-9402-7DBD753F86A6}" xr6:coauthVersionLast="47" xr6:coauthVersionMax="47" xr10:uidLastSave="{00000000-0000-0000-0000-000000000000}"/>
  <bookViews>
    <workbookView xWindow="-108" yWindow="-108" windowWidth="23256" windowHeight="13176" activeTab="2" xr2:uid="{284AF776-1D60-4181-8EF5-B8FBD4139D2C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Sheet1!$A$1:$K$41</definedName>
  </definedNames>
  <calcPr calcId="191029"/>
  <pivotCaches>
    <pivotCache cacheId="2" r:id="rId4"/>
    <pivotCache cacheId="8" r:id="rId5"/>
    <pivotCache cacheId="1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6" i="1" l="1"/>
  <c r="F45" i="1"/>
  <c r="H10" i="1"/>
  <c r="H12" i="1"/>
  <c r="H13" i="1"/>
  <c r="H14" i="1"/>
  <c r="H15" i="1"/>
  <c r="H26" i="1"/>
  <c r="H27" i="1"/>
  <c r="H28" i="1"/>
  <c r="H29" i="1"/>
  <c r="F44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G11" i="1"/>
  <c r="H11" i="1" s="1"/>
  <c r="G12" i="1"/>
  <c r="G13" i="1"/>
  <c r="G14" i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G27" i="1"/>
  <c r="G28" i="1"/>
  <c r="G29" i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2" i="1"/>
  <c r="H2" i="1" s="1"/>
</calcChain>
</file>

<file path=xl/sharedStrings.xml><?xml version="1.0" encoding="utf-8"?>
<sst xmlns="http://schemas.openxmlformats.org/spreadsheetml/2006/main" count="244" uniqueCount="152">
  <si>
    <t>Jan</t>
  </si>
  <si>
    <t>Mar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</si>
  <si>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</si>
  <si>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</si>
  <si>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</si>
  <si>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</si>
  <si>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</si>
  <si>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</si>
  <si>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</si>
  <si>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</si>
  <si>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</si>
  <si>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</si>
  <si>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Store cost</t>
  </si>
  <si>
    <t>Sale price</t>
  </si>
  <si>
    <t>profit</t>
  </si>
  <si>
    <t>Sale Location</t>
  </si>
  <si>
    <t>Product Desc</t>
  </si>
  <si>
    <t>Laptop</t>
  </si>
  <si>
    <t>Headphones</t>
  </si>
  <si>
    <t>Keyboard</t>
  </si>
  <si>
    <t>Mouse</t>
  </si>
  <si>
    <t>Monitor</t>
  </si>
  <si>
    <t>Webcam</t>
  </si>
  <si>
    <t>Printer</t>
  </si>
  <si>
    <t>Scanner</t>
  </si>
  <si>
    <t>Tablet</t>
  </si>
  <si>
    <t>Smartphone</t>
  </si>
  <si>
    <t>Router</t>
  </si>
  <si>
    <t>Power Bank</t>
  </si>
  <si>
    <t>Speaker</t>
  </si>
  <si>
    <t>Microphone</t>
  </si>
  <si>
    <t>Charger</t>
  </si>
  <si>
    <t>USB Cable</t>
  </si>
  <si>
    <t>Hard Drive</t>
  </si>
  <si>
    <t>SSD</t>
  </si>
  <si>
    <t>RAM</t>
  </si>
  <si>
    <t>Graphics Card</t>
  </si>
  <si>
    <t>Motherboard</t>
  </si>
  <si>
    <t>Processor</t>
  </si>
  <si>
    <t>Projector</t>
  </si>
  <si>
    <t>Smart Watch</t>
  </si>
  <si>
    <t>Earbuds</t>
  </si>
  <si>
    <t>Desk Lamp</t>
  </si>
  <si>
    <t>Office Chair</t>
  </si>
  <si>
    <t>Mechanical Keyboard</t>
  </si>
  <si>
    <t>Mouse Pad</t>
  </si>
  <si>
    <t>Cooling Pad</t>
  </si>
  <si>
    <t>External Drive</t>
  </si>
  <si>
    <t>WiFi Adapter</t>
  </si>
  <si>
    <t>Bluetooth Speaker</t>
  </si>
  <si>
    <t>USB Hub</t>
  </si>
  <si>
    <t>Power Strip</t>
  </si>
  <si>
    <t>HDMI Cable</t>
  </si>
  <si>
    <t>Laptop Stand</t>
  </si>
  <si>
    <t>Phone Stand</t>
  </si>
  <si>
    <t>Wireless Mouse</t>
  </si>
  <si>
    <t>Rohan</t>
  </si>
  <si>
    <t>Amit</t>
  </si>
  <si>
    <t>Priya</t>
  </si>
  <si>
    <t>Neha</t>
  </si>
  <si>
    <t>Vikas</t>
  </si>
  <si>
    <t>Sneha</t>
  </si>
  <si>
    <t>Arjun</t>
  </si>
  <si>
    <t>Karan</t>
  </si>
  <si>
    <t>Pooja</t>
  </si>
  <si>
    <t>Rahul</t>
  </si>
  <si>
    <t>Anjali</t>
  </si>
  <si>
    <t>Manish</t>
  </si>
  <si>
    <t>Divya</t>
  </si>
  <si>
    <t>Nikhil</t>
  </si>
  <si>
    <t>Simran</t>
  </si>
  <si>
    <t>Varun</t>
  </si>
  <si>
    <t>Kavya</t>
  </si>
  <si>
    <t>Aditya</t>
  </si>
  <si>
    <t>Meera</t>
  </si>
  <si>
    <t>Sahil</t>
  </si>
  <si>
    <t>Riya</t>
  </si>
  <si>
    <t>Harsh</t>
  </si>
  <si>
    <t>Aakash</t>
  </si>
  <si>
    <t>Shreya</t>
  </si>
  <si>
    <t>Yash</t>
  </si>
  <si>
    <t>Tanya</t>
  </si>
  <si>
    <t>Mohit</t>
  </si>
  <si>
    <t>Isha</t>
  </si>
  <si>
    <t>Raj</t>
  </si>
  <si>
    <t>Naina</t>
  </si>
  <si>
    <t>Vivek</t>
  </si>
  <si>
    <t>Komal</t>
  </si>
  <si>
    <t>Abhishek</t>
  </si>
  <si>
    <t>Ritika</t>
  </si>
  <si>
    <t>Deepak</t>
  </si>
  <si>
    <t>Sakshi</t>
  </si>
  <si>
    <t>Aryan</t>
  </si>
  <si>
    <t>Preeti</t>
  </si>
  <si>
    <t>Gaurav</t>
  </si>
  <si>
    <t>Ananya</t>
  </si>
  <si>
    <t>Vadodara</t>
  </si>
  <si>
    <t>Ahmedabad</t>
  </si>
  <si>
    <t>Surat</t>
  </si>
  <si>
    <t>Mumbai</t>
  </si>
  <si>
    <t>Delhi</t>
  </si>
  <si>
    <t>Pune</t>
  </si>
  <si>
    <t>Bengaluru</t>
  </si>
  <si>
    <t>Hyderabad</t>
  </si>
  <si>
    <t>Chennai</t>
  </si>
  <si>
    <t>Jaipur</t>
  </si>
  <si>
    <t>Indore</t>
  </si>
  <si>
    <t>Rajkot</t>
  </si>
  <si>
    <t>Nashik</t>
  </si>
  <si>
    <t>Nagpur</t>
  </si>
  <si>
    <t>Kolkata</t>
  </si>
  <si>
    <t>Lucknow</t>
  </si>
  <si>
    <t>Bhopal</t>
  </si>
  <si>
    <t>Noida</t>
  </si>
  <si>
    <t>Gurugram</t>
  </si>
  <si>
    <t>Chandigarh</t>
  </si>
  <si>
    <t>Sharma</t>
  </si>
  <si>
    <t>Patel</t>
  </si>
  <si>
    <t>Mehta</t>
  </si>
  <si>
    <t>Shah</t>
  </si>
  <si>
    <t>Verma</t>
  </si>
  <si>
    <t>Joshi</t>
  </si>
  <si>
    <t>Singh</t>
  </si>
  <si>
    <t>Malhotra</t>
  </si>
  <si>
    <t>Gupta</t>
  </si>
  <si>
    <t>Kapoor</t>
  </si>
  <si>
    <t>Mishra</t>
  </si>
  <si>
    <t>Reddy</t>
  </si>
  <si>
    <t>Nair</t>
  </si>
  <si>
    <t>Agarwal</t>
  </si>
  <si>
    <t>Chauhan</t>
  </si>
  <si>
    <t>Saxena</t>
  </si>
  <si>
    <t>Yadav</t>
  </si>
  <si>
    <t>Kumar</t>
  </si>
  <si>
    <t>Iyer</t>
  </si>
  <si>
    <t>Pandey</t>
  </si>
  <si>
    <t>FirstName</t>
  </si>
  <si>
    <t>LastName</t>
  </si>
  <si>
    <t>Text To Coloums</t>
  </si>
  <si>
    <t>if</t>
  </si>
  <si>
    <t>sumif</t>
  </si>
  <si>
    <t>sort</t>
  </si>
  <si>
    <t>filter</t>
  </si>
  <si>
    <t>pivot tables</t>
  </si>
  <si>
    <t>pie chart</t>
  </si>
  <si>
    <t>Sum of all items</t>
  </si>
  <si>
    <t>Sum of all items Valued at more than 5000</t>
  </si>
  <si>
    <t>Sum of all items Valued at less than 5000</t>
  </si>
  <si>
    <t>commision 10% for itseems less than 10000  . 20% for itseems more than 10000</t>
  </si>
  <si>
    <t>Grand Total</t>
  </si>
  <si>
    <t>Sum of profit</t>
  </si>
  <si>
    <t xml:space="preserve"> namw'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</si>
</sst>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wrapText="1"/>
    </xf>
    <xf numFmtId="0" fontId="2" fillId="2" borderId="0" xfId="0" applyFont="1" applyFill="1"/>
    <xf numFmtId="165" fontId="0" fillId="0" borderId="0" xfId="0" applyNumberFormat="1"/>
    <xf numFmtId="44" fontId="2" fillId="2" borderId="0" xfId="1" applyFont="1" applyFill="1" applyAlignment="1">
      <alignment wrapText="1"/>
    </xf>
    <xf numFmtId="44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[salesdata.xlsx]Sheet2!PivotTable2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explosion val="2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Sheet2!$A$4:$A$44</c:f>
              <c:strCache>
                <c:ptCount val="40"/>
                <c:pt idx="0">
                  <c:v>Aakash</c:v>
                </c:pt>
                <c:pt idx="1">
                  <c:v>Abhishek</c:v>
                </c:pt>
                <c:pt idx="2">
                  <c:v>Aditya</c:v>
                </c:pt>
                <c:pt idx="3">
                  <c:v>Amit</c:v>
                </c:pt>
                <c:pt idx="4">
                  <c:v>Ananya</c:v>
                </c:pt>
                <c:pt idx="5">
                  <c:v>Anjali</c:v>
                </c:pt>
                <c:pt idx="6">
                  <c:v>Arjun</c:v>
                </c:pt>
                <c:pt idx="7">
                  <c:v>Aryan</c:v>
                </c:pt>
                <c:pt idx="8">
                  <c:v>Deepak</c:v>
                </c:pt>
                <c:pt idx="9">
                  <c:v>Divya</c:v>
                </c:pt>
                <c:pt idx="10">
                  <c:v>Gaurav</c:v>
                </c:pt>
                <c:pt idx="11">
                  <c:v>Harsh</c:v>
                </c:pt>
                <c:pt idx="12">
                  <c:v>Isha</c:v>
                </c:pt>
                <c:pt idx="13">
                  <c:v>Karan</c:v>
                </c:pt>
                <c:pt idx="14">
                  <c:v>Kavya</c:v>
                </c:pt>
                <c:pt idx="15">
                  <c:v>Komal</c:v>
                </c:pt>
                <c:pt idx="16">
                  <c:v>Manish</c:v>
                </c:pt>
                <c:pt idx="17">
                  <c:v>Meera</c:v>
                </c:pt>
                <c:pt idx="18">
                  <c:v>Mohit</c:v>
                </c:pt>
                <c:pt idx="19">
                  <c:v>Naina</c:v>
                </c:pt>
                <c:pt idx="20">
                  <c:v>Neha</c:v>
                </c:pt>
                <c:pt idx="21">
                  <c:v>Nikhil</c:v>
                </c:pt>
                <c:pt idx="22">
                  <c:v>Pooja</c:v>
                </c:pt>
                <c:pt idx="23">
                  <c:v>Preeti</c:v>
                </c:pt>
                <c:pt idx="24">
                  <c:v>Priya</c:v>
                </c:pt>
                <c:pt idx="25">
                  <c:v>Rahul</c:v>
                </c:pt>
                <c:pt idx="26">
                  <c:v>Raj</c:v>
                </c:pt>
                <c:pt idx="27">
                  <c:v>Ritika</c:v>
                </c:pt>
                <c:pt idx="28">
                  <c:v>Riya</c:v>
                </c:pt>
                <c:pt idx="29">
                  <c:v>Rohan</c:v>
                </c:pt>
                <c:pt idx="30">
                  <c:v>Sahil</c:v>
                </c:pt>
                <c:pt idx="31">
                  <c:v>Sakshi</c:v>
                </c:pt>
                <c:pt idx="32">
                  <c:v>Shreya</c:v>
                </c:pt>
                <c:pt idx="33">
                  <c:v>Simran</c:v>
                </c:pt>
                <c:pt idx="34">
                  <c:v>Sneha</c:v>
                </c:pt>
                <c:pt idx="35">
                  <c:v>Tanya</c:v>
                </c:pt>
                <c:pt idx="36">
                  <c:v>Varun</c:v>
                </c:pt>
                <c:pt idx="37">
                  <c:v>Vikas</c:v>
                </c:pt>
                <c:pt idx="38">
                  <c:v>Vivek</c:v>
                </c:pt>
                <c:pt idx="39">
                  <c:v>Yash</c:v>
                </c:pt>
              </c:strCache>
            </c:strRef>
          </c:cat>
          <c:val>
            <c:numRef>
              <c:f>Sheet2!$B$4:$B$44</c:f>
              <c:numCache>
                <c:formatCode>_ [$₹-4009]\ * #,##0.00_ ;_ [$₹-4009]\ * \-#,##0.00_ ;_ [$₹-4009]\ * "-"??_ ;_ @_ </c:formatCode>
                <c:ptCount val="40"/>
                <c:pt idx="0">
                  <c:v>1300</c:v>
                </c:pt>
                <c:pt idx="1">
                  <c:v>3400</c:v>
                </c:pt>
                <c:pt idx="2">
                  <c:v>1350</c:v>
                </c:pt>
                <c:pt idx="3">
                  <c:v>1800</c:v>
                </c:pt>
                <c:pt idx="4">
                  <c:v>2100</c:v>
                </c:pt>
                <c:pt idx="5">
                  <c:v>2400</c:v>
                </c:pt>
                <c:pt idx="6">
                  <c:v>2700</c:v>
                </c:pt>
                <c:pt idx="7">
                  <c:v>3700</c:v>
                </c:pt>
                <c:pt idx="8">
                  <c:v>2900</c:v>
                </c:pt>
                <c:pt idx="9">
                  <c:v>3400</c:v>
                </c:pt>
                <c:pt idx="10">
                  <c:v>2300</c:v>
                </c:pt>
                <c:pt idx="11">
                  <c:v>3900</c:v>
                </c:pt>
                <c:pt idx="12">
                  <c:v>2200</c:v>
                </c:pt>
                <c:pt idx="13">
                  <c:v>1750</c:v>
                </c:pt>
                <c:pt idx="14">
                  <c:v>2500</c:v>
                </c:pt>
                <c:pt idx="15">
                  <c:v>1850</c:v>
                </c:pt>
                <c:pt idx="16">
                  <c:v>1700</c:v>
                </c:pt>
                <c:pt idx="17">
                  <c:v>3200</c:v>
                </c:pt>
                <c:pt idx="18">
                  <c:v>1600</c:v>
                </c:pt>
                <c:pt idx="19">
                  <c:v>1450</c:v>
                </c:pt>
                <c:pt idx="20">
                  <c:v>1450</c:v>
                </c:pt>
                <c:pt idx="21">
                  <c:v>1400</c:v>
                </c:pt>
                <c:pt idx="22">
                  <c:v>2750</c:v>
                </c:pt>
                <c:pt idx="23">
                  <c:v>2150</c:v>
                </c:pt>
                <c:pt idx="24">
                  <c:v>3100</c:v>
                </c:pt>
                <c:pt idx="25">
                  <c:v>1700</c:v>
                </c:pt>
                <c:pt idx="26">
                  <c:v>3450</c:v>
                </c:pt>
                <c:pt idx="27">
                  <c:v>1600</c:v>
                </c:pt>
                <c:pt idx="28">
                  <c:v>1650</c:v>
                </c:pt>
                <c:pt idx="29">
                  <c:v>3400</c:v>
                </c:pt>
                <c:pt idx="30">
                  <c:v>2200</c:v>
                </c:pt>
                <c:pt idx="31">
                  <c:v>1300</c:v>
                </c:pt>
                <c:pt idx="32">
                  <c:v>2800</c:v>
                </c:pt>
                <c:pt idx="33">
                  <c:v>4100</c:v>
                </c:pt>
                <c:pt idx="34">
                  <c:v>1700</c:v>
                </c:pt>
                <c:pt idx="35">
                  <c:v>3800</c:v>
                </c:pt>
                <c:pt idx="36">
                  <c:v>1650</c:v>
                </c:pt>
                <c:pt idx="37">
                  <c:v>3000</c:v>
                </c:pt>
                <c:pt idx="38">
                  <c:v>2800</c:v>
                </c:pt>
                <c:pt idx="39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8-485A-B610-59CF614C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335973</xdr:colOff>
      <xdr:row>22</xdr:row>
      <xdr:rowOff>20781</xdr:rowOff>
    </xdr:from>
    <xdr:to>
      <xdr:col>11</xdr:col>
      <xdr:colOff>31173</xdr:colOff>
      <xdr:row>37</xdr:row>
      <xdr:rowOff>62345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5E249D-EA96-90B5-50C2-C705EB87C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Singh" refreshedDate="46275.894945949076" createdVersion="8" refreshedVersion="8" minRefreshableVersion="3" recordCount="46" xr:uid="{79ED4C35-9253-43F8-BC3E-68D7917E2DA3}">
  <cacheSource type="worksheet">
    <worksheetSource ref="A1:K1048576" sheet="Sheet1"/>
  </cacheSource>
  <cacheFields count="11">
    <cacheField name="Month" numFmtId="0">
      <sharedItems containsBlank="1"/>
    </cacheField>
    <cacheField name="Transaction" numFmtId="0">
      <sharedItems containsBlank="1" containsMixedTypes="1" containsNumber="1" containsInteger="1" minValue="1001" maxValue="1191"/>
    </cacheField>
    <cacheField name="Product Code" numFmtId="0">
      <sharedItems containsString="0" containsBlank="1" containsNumber="1" containsInteger="1" minValue="1109" maxValue="9954"/>
    </cacheField>
    <cacheField name="Product Desc" numFmtId="0">
      <sharedItems containsBlank="1"/>
    </cacheField>
    <cacheField name="Store cost" numFmtId="0">
      <sharedItems containsString="0" containsBlank="1" containsNumber="1" containsInteger="1" minValue="5250" maxValue="23800"/>
    </cacheField>
    <cacheField name="Sale price" numFmtId="0">
      <sharedItems containsString="0" containsBlank="1" containsNumber="1" containsInteger="1" minValue="6700" maxValue="582200"/>
    </cacheField>
    <cacheField name="profit" numFmtId="0">
      <sharedItems containsString="0" containsBlank="1" containsNumber="1" containsInteger="1" minValue="1300" maxValue="4100"/>
    </cacheField>
    <cacheField name="commision 10% for itseems less than 10000  . 20% for itseems more than 10000" numFmtId="44">
      <sharedItems containsString="0" containsBlank="1" containsNumber="1" containsInteger="1" minValue="130" maxValue="820"/>
    </cacheField>
    <cacheField name="FirstName" numFmtId="0">
      <sharedItems containsBlank="1"/>
    </cacheField>
    <cacheField name="LastName" numFmtId="0">
      <sharedItems containsBlank="1"/>
    </cacheField>
    <cacheField name="Sale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Singh" refreshedDate="46275.895910648149" createdVersion="8" refreshedVersion="8" minRefreshableVersion="3" recordCount="40" xr:uid="{57FAE6D7-F174-4F36-9214-436F5DE70B5E}">
  <cacheSource type="worksheet">
    <worksheetSource ref="A1:K41" sheet="Sheet1"/>
  </cacheSource>
  <cacheFields count="11">
    <cacheField name="Field1" caption="Field1" numFmtId="0">
      <sharedItems containsBlank="1"/>
    </cacheField>
    <cacheField name="Field2" caption="Field2" numFmtId="0">
      <sharedItems containsString="0" containsBlank="1" containsNumber="1" containsInteger="1" minValue="1005" maxValue="1191"/>
    </cacheField>
    <cacheField name="Field3" caption="Field3" numFmtId="0">
      <sharedItems containsString="0" containsBlank="1" containsNumber="1" containsInteger="1" minValue="1725" maxValue="9954"/>
    </cacheField>
    <cacheField name="Product Desc" numFmtId="0">
      <sharedItems count="39">
        <s v="Laptop"/>
        <s v="Headphones"/>
        <s v="Keyboard"/>
        <s v="Mouse"/>
        <s v="Monitor"/>
        <s v="Webcam"/>
        <s v="Printer"/>
        <s v="Scanner"/>
        <s v="Tablet"/>
        <s v="Smartphone"/>
        <s v="Router"/>
        <s v="Power Bank"/>
        <s v="Speaker"/>
        <s v="Microphone"/>
        <s v="Charger"/>
        <s v="USB Cable"/>
        <s v="Hard Drive"/>
        <s v="SSD"/>
        <s v="RAM"/>
        <s v="Graphics Card"/>
        <s v="Motherboard"/>
        <s v="Processor"/>
        <s v="Projector"/>
        <s v="Smart Watch"/>
        <s v="Earbuds"/>
        <s v="Desk Lamp"/>
        <s v="Office Chair"/>
        <s v="Mechanical Keyboard"/>
        <s v="Mouse Pad"/>
        <s v="Cooling Pad"/>
        <s v="External Drive"/>
        <s v="WiFi Adapter"/>
        <s v="Bluetooth Speaker"/>
        <s v="USB Hub"/>
        <s v="Power Strip"/>
        <s v="HDMI Cable"/>
        <s v="Laptop Stand"/>
        <s v="Phone Stand"/>
        <s v="Wireless Mouse"/>
      </sharedItems>
    </cacheField>
    <cacheField name="Store cost" numFmtId="165">
      <sharedItems containsSemiMixedTypes="0" containsString="0" containsNumber="1" containsInteger="1" minValue="5250" maxValue="23800"/>
    </cacheField>
    <cacheField name="Sale price" numFmtId="165">
      <sharedItems containsSemiMixedTypes="0" containsString="0" containsNumber="1" containsInteger="1" minValue="6700" maxValue="27900"/>
    </cacheField>
    <cacheField name="profit" numFmtId="165">
      <sharedItems containsSemiMixedTypes="0" containsString="0" containsNumber="1" containsInteger="1" minValue="1300" maxValue="4100"/>
    </cacheField>
    <cacheField name="commision 10% for itseems less than 10000  . 20% for itseems more than 10000" numFmtId="44">
      <sharedItems containsSemiMixedTypes="0" containsString="0" containsNumber="1" containsInteger="1" minValue="130" maxValue="820"/>
    </cacheField>
    <cacheField name="FirstName" numFmtId="0">
      <sharedItems count="40">
        <s v="Rohan"/>
        <s v="Amit"/>
        <s v="Priya"/>
        <s v="Neha"/>
        <s v="Vikas"/>
        <s v="Sneha"/>
        <s v="Arjun"/>
        <s v="Karan"/>
        <s v="Pooja"/>
        <s v="Rahul"/>
        <s v="Anjali"/>
        <s v="Manish"/>
        <s v="Divya"/>
        <s v="Nikhil"/>
        <s v="Simran"/>
        <s v="Varun"/>
        <s v="Kavya"/>
        <s v="Aditya"/>
        <s v="Meera"/>
        <s v="Sahil"/>
        <s v="Riya"/>
        <s v="Harsh"/>
        <s v="Aakash"/>
        <s v="Shreya"/>
        <s v="Yash"/>
        <s v="Tanya"/>
        <s v="Mohit"/>
        <s v="Isha"/>
        <s v="Raj"/>
        <s v="Naina"/>
        <s v="Vivek"/>
        <s v="Komal"/>
        <s v="Abhishek"/>
        <s v="Ritika"/>
        <s v="Deepak"/>
        <s v="Sakshi"/>
        <s v="Aryan"/>
        <s v="Preeti"/>
        <s v="Gaurav"/>
        <s v="Ananya"/>
      </sharedItems>
    </cacheField>
    <cacheField name="LastName" numFmtId="0">
      <sharedItems/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 Singh" refreshedDate="46275.976991898147" createdVersion="8" refreshedVersion="8" minRefreshableVersion="3" recordCount="41" xr:uid="{8C1E7531-528D-4309-95BF-9813D20CDBA8}">
  <cacheSource type="worksheet">
    <worksheetSource ref="A3:B44" sheet="Sheet2"/>
  </cacheSource>
  <cacheFields count="2">
    <cacheField name=" namw'" numFmtId="0">
      <sharedItems/>
    </cacheField>
    <cacheField name="Sum of profit" numFmtId="165">
      <sharedItems containsSemiMixedTypes="0" containsString="0" containsNumber="1" containsInteger="1" minValue="1300" maxValue="95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Jan"/>
    <n v="1001"/>
    <n v="9822"/>
    <s v="Laptop"/>
    <n v="12500"/>
    <n v="15900"/>
    <n v="3400"/>
    <n v="680"/>
    <s v="Rohan"/>
    <s v="Sharma"/>
    <s v="Vadodara"/>
  </r>
  <r>
    <s v="Mar"/>
    <n v="1047"/>
    <n v="2877"/>
    <s v="Headphones"/>
    <n v="8400"/>
    <n v="10200"/>
    <n v="1800"/>
    <n v="360"/>
    <s v="Amit"/>
    <s v="Patel"/>
    <s v="Ahmedabad"/>
  </r>
  <r>
    <s v="Feb"/>
    <n v="1083"/>
    <n v="2499"/>
    <s v="Keyboard"/>
    <n v="15300"/>
    <n v="18400"/>
    <n v="3100"/>
    <n v="620"/>
    <s v="Priya"/>
    <s v="Mehta"/>
    <s v="Surat"/>
  </r>
  <r>
    <s v="Apr"/>
    <n v="1019"/>
    <n v="8722"/>
    <s v="Mouse"/>
    <n v="6750"/>
    <n v="8200"/>
    <n v="1450"/>
    <n v="145"/>
    <s v="Neha"/>
    <s v="Shah"/>
    <s v="Mumbai"/>
  </r>
  <r>
    <s v="Jan"/>
    <n v="1126"/>
    <n v="1109"/>
    <s v="Monitor"/>
    <n v="21900"/>
    <n v="24900"/>
    <n v="3000"/>
    <n v="600"/>
    <s v="Vikas"/>
    <s v="Verma"/>
    <s v="Delhi"/>
  </r>
  <r>
    <s v="May"/>
    <n v="1054"/>
    <n v="4421"/>
    <s v="Webcam"/>
    <n v="9800"/>
    <n v="11500"/>
    <n v="1700"/>
    <n v="340"/>
    <s v="Sneha"/>
    <s v="Joshi"/>
    <s v="Pune"/>
  </r>
  <r>
    <s v="Feb"/>
    <n v="1091"/>
    <n v="9212"/>
    <s v="Printer"/>
    <n v="14200"/>
    <n v="16900"/>
    <n v="2700"/>
    <n v="540"/>
    <s v="Arjun"/>
    <s v="Singh"/>
    <s v="Bengaluru"/>
  </r>
  <r>
    <s v="Mar"/>
    <n v="1038"/>
    <n v="2242"/>
    <s v="Scanner"/>
    <n v="7350"/>
    <n v="9100"/>
    <n v="1750"/>
    <n v="175"/>
    <s v="Karan"/>
    <s v="Malhotra"/>
    <s v="Hyderabad"/>
  </r>
  <r>
    <s v="Jun"/>
    <n v="1172"/>
    <n v="7634"/>
    <s v="Tablet"/>
    <n v="18750"/>
    <n v="21500"/>
    <n v="2750"/>
    <n v="550"/>
    <s v="Pooja"/>
    <s v="Gupta"/>
    <s v="Chennai"/>
  </r>
  <r>
    <s v="Jan"/>
    <n v="1065"/>
    <n v="5518"/>
    <s v="Smartphone"/>
    <n v="5600"/>
    <n v="7300"/>
    <n v="1700"/>
    <n v="170"/>
    <s v="Rahul"/>
    <s v="Kapoor"/>
    <s v="Jaipur"/>
  </r>
  <r>
    <s v="Apr"/>
    <n v="1104"/>
    <n v="3197"/>
    <s v="Router"/>
    <n v="12400"/>
    <n v="14800"/>
    <n v="2400"/>
    <n v="480"/>
    <s v="Anjali"/>
    <s v="Mishra"/>
    <s v="Indore"/>
  </r>
  <r>
    <s v="Feb"/>
    <n v="1027"/>
    <n v="6843"/>
    <s v="Power Bank"/>
    <n v="9100"/>
    <n v="10800"/>
    <n v="1700"/>
    <n v="340"/>
    <s v="Manish"/>
    <s v="Reddy"/>
    <s v="Rajkot"/>
  </r>
  <r>
    <s v="May"/>
    <n v="1158"/>
    <n v="4756"/>
    <s v="Speaker"/>
    <n v="16500"/>
    <n v="19900"/>
    <n v="3400"/>
    <n v="680"/>
    <s v="Divya"/>
    <s v="Nair"/>
    <s v="Nashik"/>
  </r>
  <r>
    <s v="Mar"/>
    <n v="1076"/>
    <n v="9031"/>
    <s v="Microphone"/>
    <n v="7200"/>
    <n v="8600"/>
    <n v="1400"/>
    <n v="140"/>
    <s v="Nikhil"/>
    <s v="Agarwal"/>
    <s v="Nagpur"/>
  </r>
  <r>
    <s v="Jul"/>
    <n v="1143"/>
    <n v="1286"/>
    <s v="Charger"/>
    <n v="23800"/>
    <n v="27900"/>
    <n v="4100"/>
    <n v="820"/>
    <s v="Simran"/>
    <s v="Chauhan"/>
    <s v="Kolkata"/>
  </r>
  <r>
    <s v="Jan"/>
    <n v="1099"/>
    <n v="7345"/>
    <s v="USB Cable"/>
    <n v="8450"/>
    <n v="10100"/>
    <n v="1650"/>
    <n v="330"/>
    <s v="Varun"/>
    <s v="Saxena"/>
    <s v="Lucknow"/>
  </r>
  <r>
    <s v="Jun"/>
    <n v="1185"/>
    <n v="5621"/>
    <s v="Hard Drive"/>
    <n v="13200"/>
    <n v="15700"/>
    <n v="2500"/>
    <n v="500"/>
    <s v="Kavya"/>
    <s v="Yadav"/>
    <s v="Bhopal"/>
  </r>
  <r>
    <s v="Feb"/>
    <n v="1041"/>
    <n v="8179"/>
    <s v="SSD"/>
    <n v="6900"/>
    <n v="8250"/>
    <n v="1350"/>
    <n v="135"/>
    <s v="Aditya"/>
    <s v="Kumar"/>
    <s v="Noida"/>
  </r>
  <r>
    <s v="Apr"/>
    <n v="1117"/>
    <n v="3467"/>
    <s v="RAM"/>
    <n v="15600"/>
    <n v="18800"/>
    <n v="3200"/>
    <n v="640"/>
    <s v="Meera"/>
    <s v="Iyer"/>
    <s v="Gurugram"/>
  </r>
  <r>
    <s v="Aug"/>
    <n v="1069"/>
    <n v="9954"/>
    <s v="Graphics Card"/>
    <n v="10400"/>
    <n v="12600"/>
    <n v="2200"/>
    <n v="440"/>
    <s v="Sahil"/>
    <s v="Pandey"/>
    <s v="Chandigarh"/>
  </r>
  <r>
    <s v="Mar"/>
    <n v="1132"/>
    <n v="2148"/>
    <s v="Motherboard"/>
    <n v="8750"/>
    <n v="10400"/>
    <n v="1650"/>
    <n v="330"/>
    <s v="Riya"/>
    <s v="Sharma"/>
    <s v="Vadodara"/>
  </r>
  <r>
    <s v="May"/>
    <n v="1008"/>
    <n v="6583"/>
    <s v="Processor"/>
    <n v="19200"/>
    <n v="23100"/>
    <n v="3900"/>
    <n v="780"/>
    <s v="Harsh"/>
    <s v="Patel"/>
    <s v="Surat"/>
  </r>
  <r>
    <s v="Jan"/>
    <n v="1164"/>
    <n v="7812"/>
    <s v="Projector"/>
    <n v="6150"/>
    <n v="7450"/>
    <n v="1300"/>
    <n v="130"/>
    <s v="Aakash"/>
    <s v="Mehta"/>
    <s v="Ahmedabad"/>
  </r>
  <r>
    <s v="Sep"/>
    <n v="1088"/>
    <n v="4296"/>
    <s v="Smart Watch"/>
    <n v="14800"/>
    <n v="17600"/>
    <n v="2800"/>
    <n v="560"/>
    <s v="Shreya"/>
    <s v="Shah"/>
    <s v="Pune"/>
  </r>
  <r>
    <s v="Feb"/>
    <n v="1023"/>
    <n v="5367"/>
    <s v="Earbuds"/>
    <n v="9300"/>
    <n v="11200"/>
    <n v="1900"/>
    <n v="380"/>
    <s v="Yash"/>
    <s v="Verma"/>
    <s v="Mumbai"/>
  </r>
  <r>
    <s v="Jun"/>
    <n v="1191"/>
    <n v="9048"/>
    <s v="Desk Lamp"/>
    <n v="22100"/>
    <n v="25900"/>
    <n v="3800"/>
    <n v="760"/>
    <s v="Tanya"/>
    <s v="Joshi"/>
    <s v="Jaipur"/>
  </r>
  <r>
    <s v="Apr"/>
    <n v="1059"/>
    <n v="1725"/>
    <s v="Office Chair"/>
    <n v="7800"/>
    <n v="9400"/>
    <n v="1600"/>
    <n v="160"/>
    <s v="Mohit"/>
    <s v="Singh"/>
    <s v="Bengaluru"/>
  </r>
  <r>
    <s v="Mar"/>
    <n v="1109"/>
    <n v="6439"/>
    <s v="Mechanical Keyboard"/>
    <n v="11600"/>
    <n v="13800"/>
    <n v="2200"/>
    <n v="440"/>
    <s v="Isha"/>
    <s v="Malhotra"/>
    <s v="Indore"/>
  </r>
  <r>
    <s v="Oct"/>
    <n v="1031"/>
    <n v="3184"/>
    <s v="Mouse Pad"/>
    <n v="16950"/>
    <n v="20400"/>
    <n v="3450"/>
    <n v="690"/>
    <s v="Raj"/>
    <s v="Gupta"/>
    <s v="Hyderabad"/>
  </r>
  <r>
    <s v="Jan"/>
    <n v="1178"/>
    <n v="8562"/>
    <s v="Cooling Pad"/>
    <n v="5250"/>
    <n v="6700"/>
    <n v="1450"/>
    <n v="145"/>
    <s v="Naina"/>
    <s v="Kapoor"/>
    <s v="Rajkot"/>
  </r>
  <r>
    <s v="May"/>
    <n v="1014"/>
    <n v="4917"/>
    <s v="External Drive"/>
    <n v="13700"/>
    <n v="16500"/>
    <n v="2800"/>
    <n v="560"/>
    <s v="Vivek"/>
    <s v="Mishra"/>
    <s v="Delhi"/>
  </r>
  <r>
    <s v="Feb"/>
    <n v="1149"/>
    <n v="7265"/>
    <s v="WiFi Adapter"/>
    <n v="8900"/>
    <n v="10750"/>
    <n v="1850"/>
    <n v="370"/>
    <s v="Komal"/>
    <s v="Reddy"/>
    <s v="Nashik"/>
  </r>
  <r>
    <s v="Jul"/>
    <n v="1071"/>
    <n v="5831"/>
    <s v="Bluetooth Speaker"/>
    <n v="20500"/>
    <n v="23900"/>
    <n v="3400"/>
    <n v="680"/>
    <s v="Abhishek"/>
    <s v="Nair"/>
    <s v="Chennai"/>
  </r>
  <r>
    <s v="Apr"/>
    <n v="1122"/>
    <n v="3698"/>
    <s v="USB Hub"/>
    <n v="7350"/>
    <n v="8950"/>
    <n v="1600"/>
    <n v="160"/>
    <s v="Ritika"/>
    <s v="Agarwal"/>
    <s v="Bhopal"/>
  </r>
  <r>
    <s v="Nov"/>
    <n v="1005"/>
    <n v="9472"/>
    <s v="Power Strip"/>
    <n v="15400"/>
    <n v="18300"/>
    <n v="2900"/>
    <n v="580"/>
    <s v="Deepak"/>
    <s v="Chauhan"/>
    <s v="Nagpur"/>
  </r>
  <r>
    <s v="Mar"/>
    <n v="1189"/>
    <n v="2056"/>
    <s v="HDMI Cable"/>
    <n v="6500"/>
    <n v="7800"/>
    <n v="1300"/>
    <n v="130"/>
    <s v="Sakshi"/>
    <s v="Yadav"/>
    <s v="Kolkata"/>
  </r>
  <r>
    <s v="Jun"/>
    <n v="1044"/>
    <n v="6147"/>
    <s v="Laptop Stand"/>
    <n v="18100"/>
    <n v="21800"/>
    <n v="3700"/>
    <n v="740"/>
    <s v="Aryan"/>
    <s v="Saxena"/>
    <s v="Lucknow"/>
  </r>
  <r>
    <s v="Jan"/>
    <n v="1110"/>
    <n v="8329"/>
    <s v="Phone Stand"/>
    <n v="9950"/>
    <n v="12100"/>
    <n v="2150"/>
    <n v="430"/>
    <s v="Preeti"/>
    <s v="Kumar"/>
    <s v="Noida"/>
  </r>
  <r>
    <s v="Dec"/>
    <n v="1062"/>
    <n v="4573"/>
    <s v="Wireless Mouse"/>
    <n v="12800"/>
    <n v="15100"/>
    <n v="2300"/>
    <n v="460"/>
    <s v="Gaurav"/>
    <s v="Pandey"/>
    <s v="Gurugram"/>
  </r>
  <r>
    <s v="Feb"/>
    <n v="1155"/>
    <n v="7684"/>
    <s v="Microphone"/>
    <n v="7600"/>
    <n v="9700"/>
    <n v="2100"/>
    <n v="210"/>
    <s v="Ananya"/>
    <s v="Mehta"/>
    <s v="Surat"/>
  </r>
  <r>
    <m/>
    <m/>
    <m/>
    <m/>
    <m/>
    <m/>
    <m/>
    <m/>
    <m/>
    <m/>
    <m/>
  </r>
  <r>
    <m/>
    <m/>
    <m/>
    <m/>
    <m/>
    <m/>
    <m/>
    <m/>
    <m/>
    <m/>
    <m/>
  </r>
  <r>
    <m/>
    <s v="Sum of all items"/>
    <m/>
    <m/>
    <m/>
    <n v="582200"/>
    <m/>
    <m/>
    <m/>
    <m/>
    <m/>
  </r>
  <r>
    <m/>
    <s v="Sum of all items Valued at more than 5000"/>
    <m/>
    <m/>
    <m/>
    <n v="490750"/>
    <m/>
    <m/>
    <m/>
    <m/>
    <m/>
  </r>
  <r>
    <m/>
    <s v="Sum of all items Valued at less than 5000"/>
    <m/>
    <m/>
    <m/>
    <n v="91450"/>
    <m/>
    <m/>
    <m/>
    <m/>
    <m/>
  </r>
  <r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m/>
    <m/>
    <m/>
    <x v="0"/>
    <n v="12500"/>
    <n v="15900"/>
    <n v="3400"/>
    <n v="680"/>
    <x v="0"/>
    <s v="Sharma"/>
    <s v="Vadodara"/>
  </r>
  <r>
    <m/>
    <m/>
    <m/>
    <x v="1"/>
    <n v="8400"/>
    <n v="10200"/>
    <n v="1800"/>
    <n v="360"/>
    <x v="1"/>
    <s v="Patel"/>
    <s v="Ahmedabad"/>
  </r>
  <r>
    <m/>
    <m/>
    <m/>
    <x v="2"/>
    <n v="15300"/>
    <n v="18400"/>
    <n v="3100"/>
    <n v="620"/>
    <x v="2"/>
    <s v="Mehta"/>
    <s v="Surat"/>
  </r>
  <r>
    <m/>
    <m/>
    <m/>
    <x v="3"/>
    <n v="6750"/>
    <n v="8200"/>
    <n v="1450"/>
    <n v="145"/>
    <x v="3"/>
    <s v="Shah"/>
    <s v="Mumbai"/>
  </r>
  <r>
    <m/>
    <m/>
    <m/>
    <x v="4"/>
    <n v="21900"/>
    <n v="24900"/>
    <n v="3000"/>
    <n v="600"/>
    <x v="4"/>
    <s v="Verma"/>
    <s v="Delhi"/>
  </r>
  <r>
    <m/>
    <m/>
    <m/>
    <x v="5"/>
    <n v="9800"/>
    <n v="11500"/>
    <n v="1700"/>
    <n v="340"/>
    <x v="5"/>
    <s v="Joshi"/>
    <s v="Pune"/>
  </r>
  <r>
    <m/>
    <m/>
    <m/>
    <x v="6"/>
    <n v="14200"/>
    <n v="16900"/>
    <n v="2700"/>
    <n v="540"/>
    <x v="6"/>
    <s v="Singh"/>
    <s v="Bengaluru"/>
  </r>
  <r>
    <m/>
    <m/>
    <m/>
    <x v="7"/>
    <n v="7350"/>
    <n v="9100"/>
    <n v="1750"/>
    <n v="175"/>
    <x v="7"/>
    <s v="Malhotra"/>
    <s v="Hyderabad"/>
  </r>
  <r>
    <m/>
    <m/>
    <m/>
    <x v="8"/>
    <n v="18750"/>
    <n v="21500"/>
    <n v="2750"/>
    <n v="550"/>
    <x v="8"/>
    <s v="Gupta"/>
    <s v="Chennai"/>
  </r>
  <r>
    <m/>
    <m/>
    <m/>
    <x v="9"/>
    <n v="5600"/>
    <n v="7300"/>
    <n v="1700"/>
    <n v="170"/>
    <x v="9"/>
    <s v="Kapoor"/>
    <s v="Jaipur"/>
  </r>
  <r>
    <m/>
    <m/>
    <m/>
    <x v="10"/>
    <n v="12400"/>
    <n v="14800"/>
    <n v="2400"/>
    <n v="480"/>
    <x v="10"/>
    <s v="Mishra"/>
    <s v="Indore"/>
  </r>
  <r>
    <m/>
    <m/>
    <m/>
    <x v="11"/>
    <n v="9100"/>
    <n v="10800"/>
    <n v="1700"/>
    <n v="340"/>
    <x v="11"/>
    <s v="Reddy"/>
    <s v="Rajkot"/>
  </r>
  <r>
    <m/>
    <m/>
    <m/>
    <x v="12"/>
    <n v="16500"/>
    <n v="19900"/>
    <n v="3400"/>
    <n v="680"/>
    <x v="12"/>
    <s v="Nair"/>
    <s v="Nashik"/>
  </r>
  <r>
    <m/>
    <m/>
    <m/>
    <x v="13"/>
    <n v="7200"/>
    <n v="8600"/>
    <n v="1400"/>
    <n v="140"/>
    <x v="13"/>
    <s v="Agarwal"/>
    <s v="Nagpur"/>
  </r>
  <r>
    <m/>
    <m/>
    <m/>
    <x v="14"/>
    <n v="23800"/>
    <n v="27900"/>
    <n v="4100"/>
    <n v="820"/>
    <x v="14"/>
    <s v="Chauhan"/>
    <s v="Kolkata"/>
  </r>
  <r>
    <m/>
    <m/>
    <m/>
    <x v="15"/>
    <n v="8450"/>
    <n v="10100"/>
    <n v="1650"/>
    <n v="330"/>
    <x v="15"/>
    <s v="Saxena"/>
    <s v="Lucknow"/>
  </r>
  <r>
    <m/>
    <m/>
    <m/>
    <x v="16"/>
    <n v="13200"/>
    <n v="15700"/>
    <n v="2500"/>
    <n v="500"/>
    <x v="16"/>
    <s v="Yadav"/>
    <s v="Bhopal"/>
  </r>
  <r>
    <s v="Feb"/>
    <n v="1041"/>
    <n v="8179"/>
    <x v="17"/>
    <n v="6900"/>
    <n v="8250"/>
    <n v="1350"/>
    <n v="135"/>
    <x v="17"/>
    <s v="Kumar"/>
    <s v="Noida"/>
  </r>
  <r>
    <s v="Apr"/>
    <n v="1117"/>
    <n v="3467"/>
    <x v="18"/>
    <n v="15600"/>
    <n v="18800"/>
    <n v="3200"/>
    <n v="640"/>
    <x v="18"/>
    <s v="Iyer"/>
    <s v="Gurugram"/>
  </r>
  <r>
    <s v="Aug"/>
    <n v="1069"/>
    <n v="9954"/>
    <x v="19"/>
    <n v="10400"/>
    <n v="12600"/>
    <n v="2200"/>
    <n v="440"/>
    <x v="19"/>
    <s v="Pandey"/>
    <s v="Chandigarh"/>
  </r>
  <r>
    <s v="Mar"/>
    <n v="1132"/>
    <n v="2148"/>
    <x v="20"/>
    <n v="8750"/>
    <n v="10400"/>
    <n v="1650"/>
    <n v="330"/>
    <x v="20"/>
    <s v="Sharma"/>
    <s v="Vadodara"/>
  </r>
  <r>
    <s v="May"/>
    <n v="1008"/>
    <n v="6583"/>
    <x v="21"/>
    <n v="19200"/>
    <n v="23100"/>
    <n v="3900"/>
    <n v="780"/>
    <x v="21"/>
    <s v="Patel"/>
    <s v="Surat"/>
  </r>
  <r>
    <s v="Jan"/>
    <n v="1164"/>
    <n v="7812"/>
    <x v="22"/>
    <n v="6150"/>
    <n v="7450"/>
    <n v="1300"/>
    <n v="130"/>
    <x v="22"/>
    <s v="Mehta"/>
    <s v="Ahmedabad"/>
  </r>
  <r>
    <s v="Sep"/>
    <n v="1088"/>
    <n v="4296"/>
    <x v="23"/>
    <n v="14800"/>
    <n v="17600"/>
    <n v="2800"/>
    <n v="560"/>
    <x v="23"/>
    <s v="Shah"/>
    <s v="Pune"/>
  </r>
  <r>
    <s v="Feb"/>
    <n v="1023"/>
    <n v="5367"/>
    <x v="24"/>
    <n v="9300"/>
    <n v="11200"/>
    <n v="1900"/>
    <n v="380"/>
    <x v="24"/>
    <s v="Verma"/>
    <s v="Mumbai"/>
  </r>
  <r>
    <s v="Jun"/>
    <n v="1191"/>
    <n v="9048"/>
    <x v="25"/>
    <n v="22100"/>
    <n v="25900"/>
    <n v="3800"/>
    <n v="760"/>
    <x v="25"/>
    <s v="Joshi"/>
    <s v="Jaipur"/>
  </r>
  <r>
    <s v="Apr"/>
    <n v="1059"/>
    <n v="1725"/>
    <x v="26"/>
    <n v="7800"/>
    <n v="9400"/>
    <n v="1600"/>
    <n v="160"/>
    <x v="26"/>
    <s v="Singh"/>
    <s v="Bengaluru"/>
  </r>
  <r>
    <s v="Mar"/>
    <n v="1109"/>
    <n v="6439"/>
    <x v="27"/>
    <n v="11600"/>
    <n v="13800"/>
    <n v="2200"/>
    <n v="440"/>
    <x v="27"/>
    <s v="Malhotra"/>
    <s v="Indore"/>
  </r>
  <r>
    <s v="Oct"/>
    <n v="1031"/>
    <n v="3184"/>
    <x v="28"/>
    <n v="16950"/>
    <n v="20400"/>
    <n v="3450"/>
    <n v="690"/>
    <x v="28"/>
    <s v="Gupta"/>
    <s v="Hyderabad"/>
  </r>
  <r>
    <s v="Jan"/>
    <n v="1178"/>
    <n v="8562"/>
    <x v="29"/>
    <n v="5250"/>
    <n v="6700"/>
    <n v="1450"/>
    <n v="145"/>
    <x v="29"/>
    <s v="Kapoor"/>
    <s v="Rajkot"/>
  </r>
  <r>
    <s v="May"/>
    <n v="1014"/>
    <n v="4917"/>
    <x v="30"/>
    <n v="13700"/>
    <n v="16500"/>
    <n v="2800"/>
    <n v="560"/>
    <x v="30"/>
    <s v="Mishra"/>
    <s v="Delhi"/>
  </r>
  <r>
    <s v="Feb"/>
    <n v="1149"/>
    <n v="7265"/>
    <x v="31"/>
    <n v="8900"/>
    <n v="10750"/>
    <n v="1850"/>
    <n v="370"/>
    <x v="31"/>
    <s v="Reddy"/>
    <s v="Nashik"/>
  </r>
  <r>
    <s v="Jul"/>
    <n v="1071"/>
    <n v="5831"/>
    <x v="32"/>
    <n v="20500"/>
    <n v="23900"/>
    <n v="3400"/>
    <n v="680"/>
    <x v="32"/>
    <s v="Nair"/>
    <s v="Chennai"/>
  </r>
  <r>
    <s v="Apr"/>
    <n v="1122"/>
    <n v="3698"/>
    <x v="33"/>
    <n v="7350"/>
    <n v="8950"/>
    <n v="1600"/>
    <n v="160"/>
    <x v="33"/>
    <s v="Agarwal"/>
    <s v="Bhopal"/>
  </r>
  <r>
    <s v="Nov"/>
    <n v="1005"/>
    <n v="9472"/>
    <x v="34"/>
    <n v="15400"/>
    <n v="18300"/>
    <n v="2900"/>
    <n v="580"/>
    <x v="34"/>
    <s v="Chauhan"/>
    <s v="Nagpur"/>
  </r>
  <r>
    <s v="Mar"/>
    <n v="1189"/>
    <n v="2056"/>
    <x v="35"/>
    <n v="6500"/>
    <n v="7800"/>
    <n v="1300"/>
    <n v="130"/>
    <x v="35"/>
    <s v="Yadav"/>
    <s v="Kolkata"/>
  </r>
  <r>
    <s v="Jun"/>
    <n v="1044"/>
    <n v="6147"/>
    <x v="36"/>
    <n v="18100"/>
    <n v="21800"/>
    <n v="3700"/>
    <n v="740"/>
    <x v="36"/>
    <s v="Saxena"/>
    <s v="Lucknow"/>
  </r>
  <r>
    <s v="Jan"/>
    <n v="1110"/>
    <n v="8329"/>
    <x v="37"/>
    <n v="9950"/>
    <n v="12100"/>
    <n v="2150"/>
    <n v="430"/>
    <x v="37"/>
    <s v="Kumar"/>
    <s v="Noida"/>
  </r>
  <r>
    <s v="Dec"/>
    <n v="1062"/>
    <n v="4573"/>
    <x v="38"/>
    <n v="12800"/>
    <n v="15100"/>
    <n v="2300"/>
    <n v="460"/>
    <x v="38"/>
    <s v="Pandey"/>
    <s v="Gurugram"/>
  </r>
  <r>
    <s v="Feb"/>
    <n v="1155"/>
    <n v="7684"/>
    <x v="13"/>
    <n v="7600"/>
    <n v="9700"/>
    <n v="2100"/>
    <n v="210"/>
    <x v="39"/>
    <s v="Mehta"/>
    <s v="Sura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Aakash"/>
    <n v="1300"/>
  </r>
  <r>
    <s v="Abhishek"/>
    <n v="3400"/>
  </r>
  <r>
    <s v="Aditya"/>
    <n v="1350"/>
  </r>
  <r>
    <s v="Amit"/>
    <n v="1800"/>
  </r>
  <r>
    <s v="Ananya"/>
    <n v="2100"/>
  </r>
  <r>
    <s v="Anjali"/>
    <n v="2400"/>
  </r>
  <r>
    <s v="Arjun"/>
    <n v="2700"/>
  </r>
  <r>
    <s v="Aryan"/>
    <n v="3700"/>
  </r>
  <r>
    <s v="Deepak"/>
    <n v="2900"/>
  </r>
  <r>
    <s v="Divya"/>
    <n v="3400"/>
  </r>
  <r>
    <s v="Gaurav"/>
    <n v="2300"/>
  </r>
  <r>
    <s v="Harsh"/>
    <n v="3900"/>
  </r>
  <r>
    <s v="Isha"/>
    <n v="2200"/>
  </r>
  <r>
    <s v="Karan"/>
    <n v="1750"/>
  </r>
  <r>
    <s v="Kavya"/>
    <n v="2500"/>
  </r>
  <r>
    <s v="Komal"/>
    <n v="1850"/>
  </r>
  <r>
    <s v="Manish"/>
    <n v="1700"/>
  </r>
  <r>
    <s v="Meera"/>
    <n v="3200"/>
  </r>
  <r>
    <s v="Mohit"/>
    <n v="1600"/>
  </r>
  <r>
    <s v="Naina"/>
    <n v="1450"/>
  </r>
  <r>
    <s v="Neha"/>
    <n v="1450"/>
  </r>
  <r>
    <s v="Nikhil"/>
    <n v="1400"/>
  </r>
  <r>
    <s v="Pooja"/>
    <n v="2750"/>
  </r>
  <r>
    <s v="Preeti"/>
    <n v="2150"/>
  </r>
  <r>
    <s v="Priya"/>
    <n v="3100"/>
  </r>
  <r>
    <s v="Rahul"/>
    <n v="1700"/>
  </r>
  <r>
    <s v="Raj"/>
    <n v="3450"/>
  </r>
  <r>
    <s v="Ritika"/>
    <n v="1600"/>
  </r>
  <r>
    <s v="Riya"/>
    <n v="1650"/>
  </r>
  <r>
    <s v="Rohan"/>
    <n v="3400"/>
  </r>
  <r>
    <s v="Sahil"/>
    <n v="2200"/>
  </r>
  <r>
    <s v="Sakshi"/>
    <n v="1300"/>
  </r>
  <r>
    <s v="Shreya"/>
    <n v="2800"/>
  </r>
  <r>
    <s v="Simran"/>
    <n v="4100"/>
  </r>
  <r>
    <s v="Sneha"/>
    <n v="1700"/>
  </r>
  <r>
    <s v="Tanya"/>
    <n v="3800"/>
  </r>
  <r>
    <s v="Varun"/>
    <n v="1650"/>
  </r>
  <r>
    <s v="Vikas"/>
    <n v="3000"/>
  </r>
  <r>
    <s v="Vivek"/>
    <n v="2800"/>
  </r>
  <r>
    <s v="Yash"/>
    <n v="1900"/>
  </r>
  <r>
    <s v="Grand Total"/>
    <n v="95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36F40-8E1F-423E-A4E0-3E8F9F89556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426BA-7493-4032-A828-7EC368CE1045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numFmtId="165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91D7C-0DA0-4EFE-86D2-810DF69CE67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 namw'">
  <location ref="A3:B44" firstHeaderRow="1" firstDataRow="1" firstDataCol="1"/>
  <pivotFields count="11">
    <pivotField showAll="0"/>
    <pivotField showAll="0"/>
    <pivotField showAll="0"/>
    <pivotField showAll="0">
      <items count="40">
        <item x="32"/>
        <item x="14"/>
        <item x="29"/>
        <item x="25"/>
        <item x="24"/>
        <item x="30"/>
        <item x="19"/>
        <item x="16"/>
        <item x="35"/>
        <item x="1"/>
        <item x="2"/>
        <item x="0"/>
        <item x="36"/>
        <item x="27"/>
        <item x="13"/>
        <item x="4"/>
        <item x="20"/>
        <item x="3"/>
        <item x="28"/>
        <item x="26"/>
        <item x="37"/>
        <item x="11"/>
        <item x="34"/>
        <item x="6"/>
        <item x="21"/>
        <item x="22"/>
        <item x="18"/>
        <item x="10"/>
        <item x="7"/>
        <item x="23"/>
        <item x="9"/>
        <item x="12"/>
        <item x="17"/>
        <item x="8"/>
        <item x="15"/>
        <item x="33"/>
        <item x="5"/>
        <item x="31"/>
        <item x="38"/>
        <item t="default"/>
      </items>
    </pivotField>
    <pivotField numFmtId="165" showAll="0"/>
    <pivotField numFmtId="165" showAll="0"/>
    <pivotField dataField="1" numFmtId="165" showAll="0"/>
    <pivotField numFmtId="44" showAll="0"/>
    <pivotField axis="axisRow" showAll="0">
      <items count="41">
        <item x="22"/>
        <item x="32"/>
        <item x="17"/>
        <item x="1"/>
        <item x="39"/>
        <item x="10"/>
        <item x="6"/>
        <item x="36"/>
        <item x="34"/>
        <item x="12"/>
        <item x="38"/>
        <item x="21"/>
        <item x="27"/>
        <item x="7"/>
        <item x="16"/>
        <item x="31"/>
        <item x="11"/>
        <item x="18"/>
        <item x="26"/>
        <item x="29"/>
        <item x="3"/>
        <item x="13"/>
        <item x="8"/>
        <item x="37"/>
        <item x="2"/>
        <item x="9"/>
        <item x="28"/>
        <item x="33"/>
        <item x="20"/>
        <item x="0"/>
        <item x="19"/>
        <item x="35"/>
        <item x="23"/>
        <item x="14"/>
        <item x="5"/>
        <item x="25"/>
        <item x="15"/>
        <item x="4"/>
        <item x="30"/>
        <item x="24"/>
        <item t="default"/>
      </items>
    </pivotField>
    <pivotField showAll="0"/>
    <pivotField showAll="0"/>
  </pivotFields>
  <rowFields count="1">
    <field x="8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profit" fld="6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C14D-C63F-4FF1-B55C-182DF2EC0467}">
  <dimension ref="A1:O46"/>
  <sheetViews>
    <sheetView topLeftCell="A19" workbookViewId="0">
      <selection activeCell="K42" sqref="A1:K42"/>
    </sheetView>
  </sheetViews>
  <sheetFormatPr defaultRowHeight="14.4" x14ac:dyDescent="0.3"/>
  <cols>
    <col min="2" max="2" width="15.5546875" customWidth="1"/>
    <col min="3" max="4" width="14" customWidth="1"/>
    <col min="5" max="5" width="12.88671875" customWidth="1"/>
    <col min="6" max="6" width="13.88671875" customWidth="1"/>
    <col min="7" max="7" width="14.21875" customWidth="1"/>
    <col min="8" max="8" width="16" style="6" customWidth="1"/>
    <col min="9" max="10" width="14.21875" customWidth="1"/>
    <col min="11" max="11" width="16.21875" customWidth="1"/>
    <col min="15" max="15" width="16.33203125" customWidth="1"/>
  </cols>
  <sheetData>
    <row r="1" spans="1:15" ht="72" x14ac:dyDescent="0.3">
      <c r="A1" s="7"/>
      <c r="B1" s="8"/>
      <c r="C1" s="9"/>
      <c r="D1" s="2" t="s">
        <v>16</v>
      </c>
      <c r="E1" s="2" t="s">
        <v>12</v>
      </c>
      <c r="F1" s="2" t="s">
        <v>13</v>
      </c>
      <c r="G1" s="2" t="s">
        <v>14</v>
      </c>
      <c r="H1" s="5" t="s">
        <v>148</v>
      </c>
      <c r="I1" s="2" t="s">
        <v>136</v>
      </c>
      <c r="J1" s="2" t="s">
        <v>137</v>
      </c>
      <c r="K1" s="3" t="s">
        <v>15</v>
      </c>
      <c r="L1" s="1"/>
    </row>
    <row r="2" spans="1:15" x14ac:dyDescent="0.3">
      <c r="A2" s="10"/>
      <c r="B2" s="11"/>
      <c r="C2" s="12"/>
      <c r="D2" t="s">
        <v>17</v>
      </c>
      <c r="E2" s="4">
        <v>12500</v>
      </c>
      <c r="F2" s="4">
        <v>15900</v>
      </c>
      <c r="G2" s="4">
        <f>F2-E2</f>
        <v>3400</v>
      </c>
      <c r="H2" s="6">
        <f>IF(F2&gt;10000,G2*0.2,G2*0.1)</f>
        <v>680</v>
      </c>
      <c r="I2" t="s">
        <v>56</v>
      </c>
      <c r="J2" t="s">
        <v>116</v>
      </c>
      <c r="K2" t="s">
        <v>96</v>
      </c>
    </row>
    <row r="3" spans="1:15" x14ac:dyDescent="0.3">
      <c r="A3" s="10"/>
      <c r="B3" s="11"/>
      <c r="C3" s="12"/>
      <c r="D3" t="s">
        <v>18</v>
      </c>
      <c r="E3" s="4">
        <v>8400</v>
      </c>
      <c r="F3" s="4">
        <v>10200</v>
      </c>
      <c r="G3" s="4">
        <f t="shared" ref="G3:G43" si="0">F3-E3</f>
        <v>1800</v>
      </c>
      <c r="H3" s="6">
        <f t="shared" ref="H3:H42" si="1">IF(F3&gt;10000,G3*0.2,G3*0.1)</f>
        <v>360</v>
      </c>
      <c r="I3" t="s">
        <v>57</v>
      </c>
      <c r="J3" t="s">
        <v>117</v>
      </c>
      <c r="K3" t="s">
        <v>97</v>
      </c>
    </row>
    <row r="4" spans="1:15" x14ac:dyDescent="0.3">
      <c r="A4" s="10"/>
      <c r="B4" s="11"/>
      <c r="C4" s="12"/>
      <c r="D4" t="s">
        <v>19</v>
      </c>
      <c r="E4" s="4">
        <v>15300</v>
      </c>
      <c r="F4" s="4">
        <v>18400</v>
      </c>
      <c r="G4" s="4">
        <f t="shared" si="0"/>
        <v>3100</v>
      </c>
      <c r="H4" s="6">
        <f t="shared" si="1"/>
        <v>620</v>
      </c>
      <c r="I4" t="s">
        <v>58</v>
      </c>
      <c r="J4" t="s">
        <v>118</v>
      </c>
      <c r="K4" t="s">
        <v>98</v>
      </c>
    </row>
    <row r="5" spans="1:15" x14ac:dyDescent="0.3">
      <c r="A5" s="10"/>
      <c r="B5" s="11"/>
      <c r="C5" s="12"/>
      <c r="D5" t="s">
        <v>20</v>
      </c>
      <c r="E5" s="4">
        <v>6750</v>
      </c>
      <c r="F5" s="4">
        <v>8200</v>
      </c>
      <c r="G5" s="4">
        <f t="shared" si="0"/>
        <v>1450</v>
      </c>
      <c r="H5" s="6">
        <f t="shared" si="1"/>
        <v>145</v>
      </c>
      <c r="I5" t="s">
        <v>59</v>
      </c>
      <c r="J5" t="s">
        <v>119</v>
      </c>
      <c r="K5" t="s">
        <v>99</v>
      </c>
    </row>
    <row r="6" spans="1:15" x14ac:dyDescent="0.3">
      <c r="A6" s="10"/>
      <c r="B6" s="11"/>
      <c r="C6" s="12"/>
      <c r="D6" t="s">
        <v>21</v>
      </c>
      <c r="E6" s="4">
        <v>21900</v>
      </c>
      <c r="F6" s="4">
        <v>24900</v>
      </c>
      <c r="G6" s="4">
        <f t="shared" si="0"/>
        <v>3000</v>
      </c>
      <c r="H6" s="6">
        <f t="shared" si="1"/>
        <v>600</v>
      </c>
      <c r="I6" t="s">
        <v>60</v>
      </c>
      <c r="J6" t="s">
        <v>120</v>
      </c>
      <c r="K6" t="s">
        <v>100</v>
      </c>
      <c r="O6" t="s">
        <v>138</v>
      </c>
    </row>
    <row r="7" spans="1:15" x14ac:dyDescent="0.3">
      <c r="A7" s="10"/>
      <c r="B7" s="11"/>
      <c r="C7" s="12"/>
      <c r="D7" t="s">
        <v>22</v>
      </c>
      <c r="E7" s="4">
        <v>9800</v>
      </c>
      <c r="F7" s="4">
        <v>11500</v>
      </c>
      <c r="G7" s="4">
        <f t="shared" si="0"/>
        <v>1700</v>
      </c>
      <c r="H7" s="6">
        <f t="shared" si="1"/>
        <v>340</v>
      </c>
      <c r="I7" t="s">
        <v>61</v>
      </c>
      <c r="J7" t="s">
        <v>121</v>
      </c>
      <c r="K7" t="s">
        <v>101</v>
      </c>
      <c r="O7" t="s">
        <v>139</v>
      </c>
    </row>
    <row r="8" spans="1:15" x14ac:dyDescent="0.3">
      <c r="A8" s="10"/>
      <c r="B8" s="11"/>
      <c r="C8" s="12"/>
      <c r="D8" t="s">
        <v>23</v>
      </c>
      <c r="E8" s="4">
        <v>14200</v>
      </c>
      <c r="F8" s="4">
        <v>16900</v>
      </c>
      <c r="G8" s="4">
        <f t="shared" si="0"/>
        <v>2700</v>
      </c>
      <c r="H8" s="6">
        <f t="shared" si="1"/>
        <v>540</v>
      </c>
      <c r="I8" t="s">
        <v>62</v>
      </c>
      <c r="J8" t="s">
        <v>122</v>
      </c>
      <c r="K8" t="s">
        <v>102</v>
      </c>
      <c r="O8" t="s">
        <v>140</v>
      </c>
    </row>
    <row r="9" spans="1:15" x14ac:dyDescent="0.3">
      <c r="A9" s="10"/>
      <c r="B9" s="11"/>
      <c r="C9" s="12"/>
      <c r="D9" t="s">
        <v>24</v>
      </c>
      <c r="E9" s="4">
        <v>7350</v>
      </c>
      <c r="F9" s="4">
        <v>9100</v>
      </c>
      <c r="G9" s="4">
        <f t="shared" si="0"/>
        <v>1750</v>
      </c>
      <c r="H9" s="6">
        <f t="shared" si="1"/>
        <v>175</v>
      </c>
      <c r="I9" t="s">
        <v>63</v>
      </c>
      <c r="J9" t="s">
        <v>123</v>
      </c>
      <c r="K9" t="s">
        <v>103</v>
      </c>
      <c r="O9" t="s">
        <v>141</v>
      </c>
    </row>
    <row r="10" spans="1:15" x14ac:dyDescent="0.3">
      <c r="A10" s="10"/>
      <c r="B10" s="11"/>
      <c r="C10" s="12"/>
      <c r="D10" t="s">
        <v>25</v>
      </c>
      <c r="E10" s="4">
        <v>18750</v>
      </c>
      <c r="F10" s="4">
        <v>21500</v>
      </c>
      <c r="G10" s="4">
        <f t="shared" si="0"/>
        <v>2750</v>
      </c>
      <c r="H10" s="6">
        <f t="shared" si="1"/>
        <v>550</v>
      </c>
      <c r="I10" t="s">
        <v>64</v>
      </c>
      <c r="J10" t="s">
        <v>124</v>
      </c>
      <c r="K10" t="s">
        <v>104</v>
      </c>
      <c r="O10" t="s">
        <v>142</v>
      </c>
    </row>
    <row r="11" spans="1:15" x14ac:dyDescent="0.3">
      <c r="A11" s="10"/>
      <c r="B11" s="11"/>
      <c r="C11" s="12"/>
      <c r="D11" t="s">
        <v>26</v>
      </c>
      <c r="E11" s="4">
        <v>5600</v>
      </c>
      <c r="F11" s="4">
        <v>7300</v>
      </c>
      <c r="G11" s="4">
        <f t="shared" si="0"/>
        <v>1700</v>
      </c>
      <c r="H11" s="6">
        <f t="shared" si="1"/>
        <v>170</v>
      </c>
      <c r="I11" t="s">
        <v>65</v>
      </c>
      <c r="J11" t="s">
        <v>125</v>
      </c>
      <c r="K11" t="s">
        <v>105</v>
      </c>
      <c r="O11" t="s">
        <v>143</v>
      </c>
    </row>
    <row r="12" spans="1:15" x14ac:dyDescent="0.3">
      <c r="A12" s="10"/>
      <c r="B12" s="11"/>
      <c r="C12" s="12"/>
      <c r="D12" t="s">
        <v>27</v>
      </c>
      <c r="E12" s="4">
        <v>12400</v>
      </c>
      <c r="F12" s="4">
        <v>14800</v>
      </c>
      <c r="G12" s="4">
        <f t="shared" si="0"/>
        <v>2400</v>
      </c>
      <c r="H12" s="6">
        <f t="shared" si="1"/>
        <v>480</v>
      </c>
      <c r="I12" t="s">
        <v>66</v>
      </c>
      <c r="J12" t="s">
        <v>126</v>
      </c>
      <c r="K12" t="s">
        <v>106</v>
      </c>
      <c r="O12" t="s">
        <v>144</v>
      </c>
    </row>
    <row r="13" spans="1:15" x14ac:dyDescent="0.3">
      <c r="A13" s="10"/>
      <c r="B13" s="11"/>
      <c r="C13" s="12"/>
      <c r="D13" t="s">
        <v>28</v>
      </c>
      <c r="E13" s="4">
        <v>9100</v>
      </c>
      <c r="F13" s="4">
        <v>10800</v>
      </c>
      <c r="G13" s="4">
        <f t="shared" si="0"/>
        <v>1700</v>
      </c>
      <c r="H13" s="6">
        <f t="shared" si="1"/>
        <v>340</v>
      </c>
      <c r="I13" t="s">
        <v>67</v>
      </c>
      <c r="J13" t="s">
        <v>127</v>
      </c>
      <c r="K13" t="s">
        <v>107</v>
      </c>
    </row>
    <row r="14" spans="1:15" x14ac:dyDescent="0.3">
      <c r="A14" s="10"/>
      <c r="B14" s="11"/>
      <c r="C14" s="12"/>
      <c r="D14" t="s">
        <v>29</v>
      </c>
      <c r="E14" s="4">
        <v>16500</v>
      </c>
      <c r="F14" s="4">
        <v>19900</v>
      </c>
      <c r="G14" s="4">
        <f t="shared" si="0"/>
        <v>3400</v>
      </c>
      <c r="H14" s="6">
        <f t="shared" si="1"/>
        <v>680</v>
      </c>
      <c r="I14" t="s">
        <v>68</v>
      </c>
      <c r="J14" t="s">
        <v>128</v>
      </c>
      <c r="K14" t="s">
        <v>108</v>
      </c>
    </row>
    <row r="15" spans="1:15" x14ac:dyDescent="0.3">
      <c r="A15" s="10"/>
      <c r="B15" s="11"/>
      <c r="C15" s="12"/>
      <c r="D15" t="s">
        <v>30</v>
      </c>
      <c r="E15" s="4">
        <v>7200</v>
      </c>
      <c r="F15" s="4">
        <v>8600</v>
      </c>
      <c r="G15" s="4">
        <f t="shared" si="0"/>
        <v>1400</v>
      </c>
      <c r="H15" s="6">
        <f t="shared" si="1"/>
        <v>140</v>
      </c>
      <c r="I15" t="s">
        <v>69</v>
      </c>
      <c r="J15" t="s">
        <v>129</v>
      </c>
      <c r="K15" t="s">
        <v>109</v>
      </c>
    </row>
    <row r="16" spans="1:15" x14ac:dyDescent="0.3">
      <c r="A16" s="10"/>
      <c r="B16" s="11"/>
      <c r="C16" s="12"/>
      <c r="D16" t="s">
        <v>31</v>
      </c>
      <c r="E16" s="4">
        <v>23800</v>
      </c>
      <c r="F16" s="4">
        <v>27900</v>
      </c>
      <c r="G16" s="4">
        <f t="shared" si="0"/>
        <v>4100</v>
      </c>
      <c r="H16" s="6">
        <f t="shared" si="1"/>
        <v>820</v>
      </c>
      <c r="I16" t="s">
        <v>70</v>
      </c>
      <c r="J16" t="s">
        <v>130</v>
      </c>
      <c r="K16" t="s">
        <v>110</v>
      </c>
    </row>
    <row r="17" spans="1:11" x14ac:dyDescent="0.3">
      <c r="A17" s="10"/>
      <c r="B17" s="11"/>
      <c r="C17" s="12"/>
      <c r="D17" t="s">
        <v>32</v>
      </c>
      <c r="E17" s="4">
        <v>8450</v>
      </c>
      <c r="F17" s="4">
        <v>10100</v>
      </c>
      <c r="G17" s="4">
        <f t="shared" si="0"/>
        <v>1650</v>
      </c>
      <c r="H17" s="6">
        <f t="shared" si="1"/>
        <v>330</v>
      </c>
      <c r="I17" t="s">
        <v>71</v>
      </c>
      <c r="J17" t="s">
        <v>131</v>
      </c>
      <c r="K17" t="s">
        <v>111</v>
      </c>
    </row>
    <row r="18" spans="1:11" x14ac:dyDescent="0.3">
      <c r="A18" s="13"/>
      <c r="B18" s="14"/>
      <c r="C18" s="15"/>
      <c r="D18" t="s">
        <v>33</v>
      </c>
      <c r="E18" s="4">
        <v>13200</v>
      </c>
      <c r="F18" s="4">
        <v>15700</v>
      </c>
      <c r="G18" s="4">
        <f t="shared" si="0"/>
        <v>2500</v>
      </c>
      <c r="H18" s="6">
        <f t="shared" si="1"/>
        <v>500</v>
      </c>
      <c r="I18" t="s">
        <v>72</v>
      </c>
      <c r="J18" t="s">
        <v>132</v>
      </c>
      <c r="K18" t="s">
        <v>112</v>
      </c>
    </row>
    <row r="19" spans="1:11" x14ac:dyDescent="0.3">
      <c r="A19" t="s">
        <v>2</v>
      </c>
      <c r="B19">
        <v>1041</v>
      </c>
      <c r="C19">
        <v>8179</v>
      </c>
      <c r="D19" t="s">
        <v>34</v>
      </c>
      <c r="E19" s="4">
        <v>6900</v>
      </c>
      <c r="F19" s="4">
        <v>8250</v>
      </c>
      <c r="G19" s="4">
        <f t="shared" si="0"/>
        <v>1350</v>
      </c>
      <c r="H19" s="6">
        <f t="shared" si="1"/>
        <v>135</v>
      </c>
      <c r="I19" t="s">
        <v>73</v>
      </c>
      <c r="J19" t="s">
        <v>133</v>
      </c>
      <c r="K19" t="s">
        <v>113</v>
      </c>
    </row>
    <row r="20" spans="1:11" x14ac:dyDescent="0.3">
      <c r="A20" t="s">
        <v>3</v>
      </c>
      <c r="B20">
        <v>1117</v>
      </c>
      <c r="C20">
        <v>3467</v>
      </c>
      <c r="D20" t="s">
        <v>35</v>
      </c>
      <c r="E20" s="4">
        <v>15600</v>
      </c>
      <c r="F20" s="4">
        <v>18800</v>
      </c>
      <c r="G20" s="4">
        <f t="shared" si="0"/>
        <v>3200</v>
      </c>
      <c r="H20" s="6">
        <f t="shared" si="1"/>
        <v>640</v>
      </c>
      <c r="I20" t="s">
        <v>74</v>
      </c>
      <c r="J20" t="s">
        <v>134</v>
      </c>
      <c r="K20" t="s">
        <v>114</v>
      </c>
    </row>
    <row r="21" spans="1:11" x14ac:dyDescent="0.3">
      <c r="A21" t="s">
        <v>7</v>
      </c>
      <c r="B21">
        <v>1069</v>
      </c>
      <c r="C21">
        <v>9954</v>
      </c>
      <c r="D21" t="s">
        <v>36</v>
      </c>
      <c r="E21" s="4">
        <v>10400</v>
      </c>
      <c r="F21" s="4">
        <v>12600</v>
      </c>
      <c r="G21" s="4">
        <f t="shared" si="0"/>
        <v>2200</v>
      </c>
      <c r="H21" s="6">
        <f t="shared" si="1"/>
        <v>440</v>
      </c>
      <c r="I21" t="s">
        <v>75</v>
      </c>
      <c r="J21" t="s">
        <v>135</v>
      </c>
      <c r="K21" t="s">
        <v>115</v>
      </c>
    </row>
    <row r="22" spans="1:11" x14ac:dyDescent="0.3">
      <c r="A22" t="s">
        <v>1</v>
      </c>
      <c r="B22">
        <v>1132</v>
      </c>
      <c r="C22">
        <v>2148</v>
      </c>
      <c r="D22" t="s">
        <v>37</v>
      </c>
      <c r="E22" s="4">
        <v>8750</v>
      </c>
      <c r="F22" s="4">
        <v>10400</v>
      </c>
      <c r="G22" s="4">
        <f t="shared" si="0"/>
        <v>1650</v>
      </c>
      <c r="H22" s="6">
        <f t="shared" si="1"/>
        <v>330</v>
      </c>
      <c r="I22" t="s">
        <v>76</v>
      </c>
      <c r="J22" t="s">
        <v>116</v>
      </c>
      <c r="K22" t="s">
        <v>96</v>
      </c>
    </row>
    <row r="23" spans="1:11" x14ac:dyDescent="0.3">
      <c r="A23" t="s">
        <v>4</v>
      </c>
      <c r="B23">
        <v>1008</v>
      </c>
      <c r="C23">
        <v>6583</v>
      </c>
      <c r="D23" t="s">
        <v>38</v>
      </c>
      <c r="E23" s="4">
        <v>19200</v>
      </c>
      <c r="F23" s="4">
        <v>23100</v>
      </c>
      <c r="G23" s="4">
        <f t="shared" si="0"/>
        <v>3900</v>
      </c>
      <c r="H23" s="6">
        <f t="shared" si="1"/>
        <v>780</v>
      </c>
      <c r="I23" t="s">
        <v>77</v>
      </c>
      <c r="J23" t="s">
        <v>117</v>
      </c>
      <c r="K23" t="s">
        <v>98</v>
      </c>
    </row>
    <row r="24" spans="1:11" x14ac:dyDescent="0.3">
      <c r="A24" t="s">
        <v>0</v>
      </c>
      <c r="B24">
        <v>1164</v>
      </c>
      <c r="C24">
        <v>7812</v>
      </c>
      <c r="D24" t="s">
        <v>39</v>
      </c>
      <c r="E24" s="4">
        <v>6150</v>
      </c>
      <c r="F24" s="4">
        <v>7450</v>
      </c>
      <c r="G24" s="4">
        <f t="shared" si="0"/>
        <v>1300</v>
      </c>
      <c r="H24" s="6">
        <f t="shared" si="1"/>
        <v>130</v>
      </c>
      <c r="I24" t="s">
        <v>78</v>
      </c>
      <c r="J24" t="s">
        <v>118</v>
      </c>
      <c r="K24" t="s">
        <v>97</v>
      </c>
    </row>
    <row r="25" spans="1:11" x14ac:dyDescent="0.3">
      <c r="A25" t="s">
        <v>8</v>
      </c>
      <c r="B25">
        <v>1088</v>
      </c>
      <c r="C25">
        <v>4296</v>
      </c>
      <c r="D25" t="s">
        <v>40</v>
      </c>
      <c r="E25" s="4">
        <v>14800</v>
      </c>
      <c r="F25" s="4">
        <v>17600</v>
      </c>
      <c r="G25" s="4">
        <f t="shared" si="0"/>
        <v>2800</v>
      </c>
      <c r="H25" s="6">
        <f t="shared" si="1"/>
        <v>560</v>
      </c>
      <c r="I25" t="s">
        <v>79</v>
      </c>
      <c r="J25" t="s">
        <v>119</v>
      </c>
      <c r="K25" t="s">
        <v>101</v>
      </c>
    </row>
    <row r="26" spans="1:11" x14ac:dyDescent="0.3">
      <c r="A26" t="s">
        <v>2</v>
      </c>
      <c r="B26">
        <v>1023</v>
      </c>
      <c r="C26">
        <v>5367</v>
      </c>
      <c r="D26" t="s">
        <v>41</v>
      </c>
      <c r="E26" s="4">
        <v>9300</v>
      </c>
      <c r="F26" s="4">
        <v>11200</v>
      </c>
      <c r="G26" s="4">
        <f t="shared" si="0"/>
        <v>1900</v>
      </c>
      <c r="H26" s="6">
        <f t="shared" si="1"/>
        <v>380</v>
      </c>
      <c r="I26" t="s">
        <v>80</v>
      </c>
      <c r="J26" t="s">
        <v>120</v>
      </c>
      <c r="K26" t="s">
        <v>99</v>
      </c>
    </row>
    <row r="27" spans="1:11" x14ac:dyDescent="0.3">
      <c r="A27" t="s">
        <v>5</v>
      </c>
      <c r="B27">
        <v>1191</v>
      </c>
      <c r="C27">
        <v>9048</v>
      </c>
      <c r="D27" t="s">
        <v>42</v>
      </c>
      <c r="E27" s="4">
        <v>22100</v>
      </c>
      <c r="F27" s="4">
        <v>25900</v>
      </c>
      <c r="G27" s="4">
        <f t="shared" si="0"/>
        <v>3800</v>
      </c>
      <c r="H27" s="6">
        <f t="shared" si="1"/>
        <v>760</v>
      </c>
      <c r="I27" t="s">
        <v>81</v>
      </c>
      <c r="J27" t="s">
        <v>121</v>
      </c>
      <c r="K27" t="s">
        <v>105</v>
      </c>
    </row>
    <row r="28" spans="1:11" x14ac:dyDescent="0.3">
      <c r="A28" t="s">
        <v>3</v>
      </c>
      <c r="B28">
        <v>1059</v>
      </c>
      <c r="C28">
        <v>1725</v>
      </c>
      <c r="D28" t="s">
        <v>43</v>
      </c>
      <c r="E28" s="4">
        <v>7800</v>
      </c>
      <c r="F28" s="4">
        <v>9400</v>
      </c>
      <c r="G28" s="4">
        <f t="shared" si="0"/>
        <v>1600</v>
      </c>
      <c r="H28" s="6">
        <f t="shared" si="1"/>
        <v>160</v>
      </c>
      <c r="I28" t="s">
        <v>82</v>
      </c>
      <c r="J28" t="s">
        <v>122</v>
      </c>
      <c r="K28" t="s">
        <v>102</v>
      </c>
    </row>
    <row r="29" spans="1:11" x14ac:dyDescent="0.3">
      <c r="A29" t="s">
        <v>1</v>
      </c>
      <c r="B29">
        <v>1109</v>
      </c>
      <c r="C29">
        <v>6439</v>
      </c>
      <c r="D29" t="s">
        <v>44</v>
      </c>
      <c r="E29" s="4">
        <v>11600</v>
      </c>
      <c r="F29" s="4">
        <v>13800</v>
      </c>
      <c r="G29" s="4">
        <f t="shared" si="0"/>
        <v>2200</v>
      </c>
      <c r="H29" s="6">
        <f t="shared" si="1"/>
        <v>440</v>
      </c>
      <c r="I29" t="s">
        <v>83</v>
      </c>
      <c r="J29" t="s">
        <v>123</v>
      </c>
      <c r="K29" t="s">
        <v>106</v>
      </c>
    </row>
    <row r="30" spans="1:11" x14ac:dyDescent="0.3">
      <c r="A30" t="s">
        <v>9</v>
      </c>
      <c r="B30">
        <v>1031</v>
      </c>
      <c r="C30">
        <v>3184</v>
      </c>
      <c r="D30" t="s">
        <v>45</v>
      </c>
      <c r="E30" s="4">
        <v>16950</v>
      </c>
      <c r="F30" s="4">
        <v>20400</v>
      </c>
      <c r="G30" s="4">
        <f t="shared" si="0"/>
        <v>3450</v>
      </c>
      <c r="H30" s="6">
        <f t="shared" si="1"/>
        <v>690</v>
      </c>
      <c r="I30" t="s">
        <v>84</v>
      </c>
      <c r="J30" t="s">
        <v>124</v>
      </c>
      <c r="K30" t="s">
        <v>103</v>
      </c>
    </row>
    <row r="31" spans="1:11" x14ac:dyDescent="0.3">
      <c r="A31" t="s">
        <v>0</v>
      </c>
      <c r="B31">
        <v>1178</v>
      </c>
      <c r="C31">
        <v>8562</v>
      </c>
      <c r="D31" t="s">
        <v>46</v>
      </c>
      <c r="E31" s="4">
        <v>5250</v>
      </c>
      <c r="F31" s="4">
        <v>6700</v>
      </c>
      <c r="G31" s="4">
        <f t="shared" si="0"/>
        <v>1450</v>
      </c>
      <c r="H31" s="6">
        <f t="shared" si="1"/>
        <v>145</v>
      </c>
      <c r="I31" t="s">
        <v>85</v>
      </c>
      <c r="J31" t="s">
        <v>125</v>
      </c>
      <c r="K31" t="s">
        <v>107</v>
      </c>
    </row>
    <row r="32" spans="1:11" x14ac:dyDescent="0.3">
      <c r="A32" t="s">
        <v>4</v>
      </c>
      <c r="B32">
        <v>1014</v>
      </c>
      <c r="C32">
        <v>4917</v>
      </c>
      <c r="D32" t="s">
        <v>47</v>
      </c>
      <c r="E32" s="4">
        <v>13700</v>
      </c>
      <c r="F32" s="4">
        <v>16500</v>
      </c>
      <c r="G32" s="4">
        <f t="shared" si="0"/>
        <v>2800</v>
      </c>
      <c r="H32" s="6">
        <f t="shared" si="1"/>
        <v>560</v>
      </c>
      <c r="I32" t="s">
        <v>86</v>
      </c>
      <c r="J32" t="s">
        <v>126</v>
      </c>
      <c r="K32" t="s">
        <v>100</v>
      </c>
    </row>
    <row r="33" spans="1:11" x14ac:dyDescent="0.3">
      <c r="A33" t="s">
        <v>2</v>
      </c>
      <c r="B33">
        <v>1149</v>
      </c>
      <c r="C33">
        <v>7265</v>
      </c>
      <c r="D33" t="s">
        <v>48</v>
      </c>
      <c r="E33" s="4">
        <v>8900</v>
      </c>
      <c r="F33" s="4">
        <v>10750</v>
      </c>
      <c r="G33" s="4">
        <f t="shared" si="0"/>
        <v>1850</v>
      </c>
      <c r="H33" s="6">
        <f t="shared" si="1"/>
        <v>370</v>
      </c>
      <c r="I33" t="s">
        <v>87</v>
      </c>
      <c r="J33" t="s">
        <v>127</v>
      </c>
      <c r="K33" t="s">
        <v>108</v>
      </c>
    </row>
    <row r="34" spans="1:11" x14ac:dyDescent="0.3">
      <c r="A34" t="s">
        <v>6</v>
      </c>
      <c r="B34">
        <v>1071</v>
      </c>
      <c r="C34">
        <v>5831</v>
      </c>
      <c r="D34" t="s">
        <v>49</v>
      </c>
      <c r="E34" s="4">
        <v>20500</v>
      </c>
      <c r="F34" s="4">
        <v>23900</v>
      </c>
      <c r="G34" s="4">
        <f t="shared" si="0"/>
        <v>3400</v>
      </c>
      <c r="H34" s="6">
        <f t="shared" si="1"/>
        <v>680</v>
      </c>
      <c r="I34" t="s">
        <v>88</v>
      </c>
      <c r="J34" t="s">
        <v>128</v>
      </c>
      <c r="K34" t="s">
        <v>104</v>
      </c>
    </row>
    <row r="35" spans="1:11" x14ac:dyDescent="0.3">
      <c r="A35" t="s">
        <v>3</v>
      </c>
      <c r="B35">
        <v>1122</v>
      </c>
      <c r="C35">
        <v>3698</v>
      </c>
      <c r="D35" t="s">
        <v>50</v>
      </c>
      <c r="E35" s="4">
        <v>7350</v>
      </c>
      <c r="F35" s="4">
        <v>8950</v>
      </c>
      <c r="G35" s="4">
        <f t="shared" si="0"/>
        <v>1600</v>
      </c>
      <c r="H35" s="6">
        <f t="shared" si="1"/>
        <v>160</v>
      </c>
      <c r="I35" t="s">
        <v>89</v>
      </c>
      <c r="J35" t="s">
        <v>129</v>
      </c>
      <c r="K35" t="s">
        <v>112</v>
      </c>
    </row>
    <row r="36" spans="1:11" x14ac:dyDescent="0.3">
      <c r="A36" t="s">
        <v>10</v>
      </c>
      <c r="B36">
        <v>1005</v>
      </c>
      <c r="C36">
        <v>9472</v>
      </c>
      <c r="D36" t="s">
        <v>51</v>
      </c>
      <c r="E36" s="4">
        <v>15400</v>
      </c>
      <c r="F36" s="4">
        <v>18300</v>
      </c>
      <c r="G36" s="4">
        <f t="shared" si="0"/>
        <v>2900</v>
      </c>
      <c r="H36" s="6">
        <f t="shared" si="1"/>
        <v>580</v>
      </c>
      <c r="I36" t="s">
        <v>90</v>
      </c>
      <c r="J36" t="s">
        <v>130</v>
      </c>
      <c r="K36" t="s">
        <v>109</v>
      </c>
    </row>
    <row r="37" spans="1:11" x14ac:dyDescent="0.3">
      <c r="A37" t="s">
        <v>1</v>
      </c>
      <c r="B37">
        <v>1189</v>
      </c>
      <c r="C37">
        <v>2056</v>
      </c>
      <c r="D37" t="s">
        <v>52</v>
      </c>
      <c r="E37" s="4">
        <v>6500</v>
      </c>
      <c r="F37" s="4">
        <v>7800</v>
      </c>
      <c r="G37" s="4">
        <f t="shared" si="0"/>
        <v>1300</v>
      </c>
      <c r="H37" s="6">
        <f t="shared" si="1"/>
        <v>130</v>
      </c>
      <c r="I37" t="s">
        <v>91</v>
      </c>
      <c r="J37" t="s">
        <v>132</v>
      </c>
      <c r="K37" t="s">
        <v>110</v>
      </c>
    </row>
    <row r="38" spans="1:11" x14ac:dyDescent="0.3">
      <c r="A38" t="s">
        <v>5</v>
      </c>
      <c r="B38">
        <v>1044</v>
      </c>
      <c r="C38">
        <v>6147</v>
      </c>
      <c r="D38" t="s">
        <v>53</v>
      </c>
      <c r="E38" s="4">
        <v>18100</v>
      </c>
      <c r="F38" s="4">
        <v>21800</v>
      </c>
      <c r="G38" s="4">
        <f t="shared" si="0"/>
        <v>3700</v>
      </c>
      <c r="H38" s="6">
        <f t="shared" si="1"/>
        <v>740</v>
      </c>
      <c r="I38" t="s">
        <v>92</v>
      </c>
      <c r="J38" t="s">
        <v>131</v>
      </c>
      <c r="K38" t="s">
        <v>111</v>
      </c>
    </row>
    <row r="39" spans="1:11" x14ac:dyDescent="0.3">
      <c r="A39" t="s">
        <v>0</v>
      </c>
      <c r="B39">
        <v>1110</v>
      </c>
      <c r="C39">
        <v>8329</v>
      </c>
      <c r="D39" t="s">
        <v>54</v>
      </c>
      <c r="E39" s="4">
        <v>9950</v>
      </c>
      <c r="F39" s="4">
        <v>12100</v>
      </c>
      <c r="G39" s="4">
        <f t="shared" si="0"/>
        <v>2150</v>
      </c>
      <c r="H39" s="6">
        <f t="shared" si="1"/>
        <v>430</v>
      </c>
      <c r="I39" t="s">
        <v>93</v>
      </c>
      <c r="J39" t="s">
        <v>133</v>
      </c>
      <c r="K39" t="s">
        <v>113</v>
      </c>
    </row>
    <row r="40" spans="1:11" x14ac:dyDescent="0.3">
      <c r="A40" t="s">
        <v>11</v>
      </c>
      <c r="B40">
        <v>1062</v>
      </c>
      <c r="C40">
        <v>4573</v>
      </c>
      <c r="D40" t="s">
        <v>55</v>
      </c>
      <c r="E40" s="4">
        <v>12800</v>
      </c>
      <c r="F40" s="4">
        <v>15100</v>
      </c>
      <c r="G40" s="4">
        <f t="shared" si="0"/>
        <v>2300</v>
      </c>
      <c r="H40" s="6">
        <f t="shared" si="1"/>
        <v>460</v>
      </c>
      <c r="I40" t="s">
        <v>94</v>
      </c>
      <c r="J40" t="s">
        <v>135</v>
      </c>
      <c r="K40" t="s">
        <v>114</v>
      </c>
    </row>
    <row r="41" spans="1:11" x14ac:dyDescent="0.3">
      <c r="A41" t="s">
        <v>2</v>
      </c>
      <c r="B41">
        <v>1155</v>
      </c>
      <c r="C41">
        <v>7684</v>
      </c>
      <c r="D41" t="s">
        <v>30</v>
      </c>
      <c r="E41" s="4">
        <v>7600</v>
      </c>
      <c r="F41" s="4">
        <v>9700</v>
      </c>
      <c r="G41" s="4">
        <f t="shared" si="0"/>
        <v>2100</v>
      </c>
      <c r="H41" s="6">
        <f t="shared" si="1"/>
        <v>210</v>
      </c>
      <c r="I41" t="s">
        <v>95</v>
      </c>
      <c r="J41" t="s">
        <v>118</v>
      </c>
      <c r="K41" t="s">
        <v>98</v>
      </c>
    </row>
    <row r="42" spans="1:11" x14ac:dyDescent="0.3">
      <c r="E42" s="4"/>
      <c r="F42" s="4"/>
      <c r="G42" s="4"/>
    </row>
    <row r="43" spans="1:11" x14ac:dyDescent="0.3">
      <c r="E43" s="4"/>
      <c r="F43" s="4"/>
      <c r="G43" s="4"/>
    </row>
    <row r="44" spans="1:11" x14ac:dyDescent="0.3">
      <c r="B44" t="s">
        <v>145</v>
      </c>
      <c r="F44" s="4">
        <f>SUM(F2:F41)</f>
        <v>582200</v>
      </c>
    </row>
    <row r="45" spans="1:11" x14ac:dyDescent="0.3">
      <c r="B45" t="s">
        <v>146</v>
      </c>
      <c r="F45" s="6">
        <f>SUMIF(F2:F41,"&gt;10000")</f>
        <v>490750</v>
      </c>
    </row>
    <row r="46" spans="1:11" x14ac:dyDescent="0.3">
      <c r="B46" t="s">
        <v>147</v>
      </c>
      <c r="F46" s="6">
        <f>SUMIF(F2:F41,"&lt;10000")</f>
        <v>91450</v>
      </c>
    </row>
  </sheetData>
  <autoFilter ref="A1:K41" xr:uid="{487FC14D-C63F-4FF1-B55C-182DF2EC0467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BEDD-37B8-472B-8BCA-4166BC1BD4B4}">
  <dimension ref="A3:C20"/>
  <sheetViews>
    <sheetView zoomScale="107" zoomScaleNormal="145" workbookViewId="0">
      <selection activeCell="C7" sqref="C7"/>
    </sheetView>
  </sheetViews>
  <sheetFormatPr defaultRowHeight="14.4" x14ac:dyDescent="0.3"/>
  <sheetData>
    <row r="3" spans="1:3" x14ac:dyDescent="0.3">
      <c r="A3" s="7"/>
      <c r="B3" s="8"/>
      <c r="C3" s="9"/>
    </row>
    <row r="4" spans="1:3" x14ac:dyDescent="0.3">
      <c r="A4" s="10"/>
      <c r="B4" s="11"/>
      <c r="C4" s="12"/>
    </row>
    <row r="5" spans="1:3" x14ac:dyDescent="0.3">
      <c r="A5" s="10"/>
      <c r="B5" s="11"/>
      <c r="C5" s="12"/>
    </row>
    <row r="6" spans="1:3" x14ac:dyDescent="0.3">
      <c r="A6" s="10"/>
      <c r="B6" s="11"/>
      <c r="C6" s="12"/>
    </row>
    <row r="7" spans="1:3" x14ac:dyDescent="0.3">
      <c r="A7" s="10"/>
      <c r="B7" s="11"/>
      <c r="C7" s="12"/>
    </row>
    <row r="8" spans="1:3" x14ac:dyDescent="0.3">
      <c r="A8" s="10"/>
      <c r="B8" s="11"/>
      <c r="C8" s="12"/>
    </row>
    <row r="9" spans="1:3" x14ac:dyDescent="0.3">
      <c r="A9" s="10"/>
      <c r="B9" s="11"/>
      <c r="C9" s="12"/>
    </row>
    <row r="10" spans="1:3" x14ac:dyDescent="0.3">
      <c r="A10" s="10"/>
      <c r="B10" s="11"/>
      <c r="C10" s="12"/>
    </row>
    <row r="11" spans="1:3" x14ac:dyDescent="0.3">
      <c r="A11" s="10"/>
      <c r="B11" s="11"/>
      <c r="C11" s="12"/>
    </row>
    <row r="12" spans="1:3" x14ac:dyDescent="0.3">
      <c r="A12" s="10"/>
      <c r="B12" s="11"/>
      <c r="C12" s="12"/>
    </row>
    <row r="13" spans="1:3" x14ac:dyDescent="0.3">
      <c r="A13" s="10"/>
      <c r="B13" s="11"/>
      <c r="C13" s="12"/>
    </row>
    <row r="14" spans="1:3" x14ac:dyDescent="0.3">
      <c r="A14" s="10"/>
      <c r="B14" s="11"/>
      <c r="C14" s="12"/>
    </row>
    <row r="15" spans="1:3" x14ac:dyDescent="0.3">
      <c r="A15" s="10"/>
      <c r="B15" s="11"/>
      <c r="C15" s="12"/>
    </row>
    <row r="16" spans="1:3" x14ac:dyDescent="0.3">
      <c r="A16" s="10"/>
      <c r="B16" s="11"/>
      <c r="C16" s="12"/>
    </row>
    <row r="17" spans="1:3" x14ac:dyDescent="0.3">
      <c r="A17" s="10"/>
      <c r="B17" s="11"/>
      <c r="C17" s="12"/>
    </row>
    <row r="18" spans="1:3" x14ac:dyDescent="0.3">
      <c r="A18" s="10"/>
      <c r="B18" s="11"/>
      <c r="C18" s="12"/>
    </row>
    <row r="19" spans="1:3" x14ac:dyDescent="0.3">
      <c r="A19" s="10"/>
      <c r="B19" s="11"/>
      <c r="C19" s="12"/>
    </row>
    <row r="20" spans="1:3" x14ac:dyDescent="0.3">
      <c r="A20" s="13"/>
      <c r="B20" s="14"/>
      <c r="C2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5DE8-8315-4DEC-8C00-C4294FAA8446}">
  <dimension ref="A3:B44"/>
  <sheetViews>
    <sheetView tabSelected="1" zoomScale="103" workbookViewId="0">
      <selection activeCell="N29" sqref="N29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16" t="s">
        <v>151</v>
      </c>
      <c r="B3" t="s">
        <v>150</v>
      </c>
    </row>
    <row r="4" spans="1:2" x14ac:dyDescent="0.3">
      <c r="A4" s="17" t="s">
        <v>78</v>
      </c>
      <c r="B4" s="4">
        <v>1300</v>
      </c>
    </row>
    <row r="5" spans="1:2" x14ac:dyDescent="0.3">
      <c r="A5" s="17" t="s">
        <v>88</v>
      </c>
      <c r="B5" s="4">
        <v>3400</v>
      </c>
    </row>
    <row r="6" spans="1:2" x14ac:dyDescent="0.3">
      <c r="A6" s="17" t="s">
        <v>73</v>
      </c>
      <c r="B6" s="4">
        <v>1350</v>
      </c>
    </row>
    <row r="7" spans="1:2" x14ac:dyDescent="0.3">
      <c r="A7" s="17" t="s">
        <v>57</v>
      </c>
      <c r="B7" s="4">
        <v>1800</v>
      </c>
    </row>
    <row r="8" spans="1:2" x14ac:dyDescent="0.3">
      <c r="A8" s="17" t="s">
        <v>95</v>
      </c>
      <c r="B8" s="4">
        <v>2100</v>
      </c>
    </row>
    <row r="9" spans="1:2" x14ac:dyDescent="0.3">
      <c r="A9" s="17" t="s">
        <v>66</v>
      </c>
      <c r="B9" s="4">
        <v>2400</v>
      </c>
    </row>
    <row r="10" spans="1:2" x14ac:dyDescent="0.3">
      <c r="A10" s="17" t="s">
        <v>62</v>
      </c>
      <c r="B10" s="4">
        <v>2700</v>
      </c>
    </row>
    <row r="11" spans="1:2" x14ac:dyDescent="0.3">
      <c r="A11" s="17" t="s">
        <v>92</v>
      </c>
      <c r="B11" s="4">
        <v>3700</v>
      </c>
    </row>
    <row r="12" spans="1:2" x14ac:dyDescent="0.3">
      <c r="A12" s="17" t="s">
        <v>90</v>
      </c>
      <c r="B12" s="4">
        <v>2900</v>
      </c>
    </row>
    <row r="13" spans="1:2" x14ac:dyDescent="0.3">
      <c r="A13" s="17" t="s">
        <v>68</v>
      </c>
      <c r="B13" s="4">
        <v>3400</v>
      </c>
    </row>
    <row r="14" spans="1:2" x14ac:dyDescent="0.3">
      <c r="A14" s="17" t="s">
        <v>94</v>
      </c>
      <c r="B14" s="4">
        <v>2300</v>
      </c>
    </row>
    <row r="15" spans="1:2" x14ac:dyDescent="0.3">
      <c r="A15" s="17" t="s">
        <v>77</v>
      </c>
      <c r="B15" s="4">
        <v>3900</v>
      </c>
    </row>
    <row r="16" spans="1:2" x14ac:dyDescent="0.3">
      <c r="A16" s="17" t="s">
        <v>83</v>
      </c>
      <c r="B16" s="4">
        <v>2200</v>
      </c>
    </row>
    <row r="17" spans="1:2" x14ac:dyDescent="0.3">
      <c r="A17" s="17" t="s">
        <v>63</v>
      </c>
      <c r="B17" s="4">
        <v>1750</v>
      </c>
    </row>
    <row r="18" spans="1:2" x14ac:dyDescent="0.3">
      <c r="A18" s="17" t="s">
        <v>72</v>
      </c>
      <c r="B18" s="4">
        <v>2500</v>
      </c>
    </row>
    <row r="19" spans="1:2" x14ac:dyDescent="0.3">
      <c r="A19" s="17" t="s">
        <v>87</v>
      </c>
      <c r="B19" s="4">
        <v>1850</v>
      </c>
    </row>
    <row r="20" spans="1:2" x14ac:dyDescent="0.3">
      <c r="A20" s="17" t="s">
        <v>67</v>
      </c>
      <c r="B20" s="4">
        <v>1700</v>
      </c>
    </row>
    <row r="21" spans="1:2" x14ac:dyDescent="0.3">
      <c r="A21" s="17" t="s">
        <v>74</v>
      </c>
      <c r="B21" s="4">
        <v>3200</v>
      </c>
    </row>
    <row r="22" spans="1:2" x14ac:dyDescent="0.3">
      <c r="A22" s="17" t="s">
        <v>82</v>
      </c>
      <c r="B22" s="4">
        <v>1600</v>
      </c>
    </row>
    <row r="23" spans="1:2" x14ac:dyDescent="0.3">
      <c r="A23" s="17" t="s">
        <v>85</v>
      </c>
      <c r="B23" s="4">
        <v>1450</v>
      </c>
    </row>
    <row r="24" spans="1:2" x14ac:dyDescent="0.3">
      <c r="A24" s="17" t="s">
        <v>59</v>
      </c>
      <c r="B24" s="4">
        <v>1450</v>
      </c>
    </row>
    <row r="25" spans="1:2" x14ac:dyDescent="0.3">
      <c r="A25" s="17" t="s">
        <v>69</v>
      </c>
      <c r="B25" s="4">
        <v>1400</v>
      </c>
    </row>
    <row r="26" spans="1:2" x14ac:dyDescent="0.3">
      <c r="A26" s="17" t="s">
        <v>64</v>
      </c>
      <c r="B26" s="4">
        <v>2750</v>
      </c>
    </row>
    <row r="27" spans="1:2" x14ac:dyDescent="0.3">
      <c r="A27" s="17" t="s">
        <v>93</v>
      </c>
      <c r="B27" s="4">
        <v>2150</v>
      </c>
    </row>
    <row r="28" spans="1:2" x14ac:dyDescent="0.3">
      <c r="A28" s="17" t="s">
        <v>58</v>
      </c>
      <c r="B28" s="4">
        <v>3100</v>
      </c>
    </row>
    <row r="29" spans="1:2" x14ac:dyDescent="0.3">
      <c r="A29" s="17" t="s">
        <v>65</v>
      </c>
      <c r="B29" s="4">
        <v>1700</v>
      </c>
    </row>
    <row r="30" spans="1:2" x14ac:dyDescent="0.3">
      <c r="A30" s="17" t="s">
        <v>84</v>
      </c>
      <c r="B30" s="4">
        <v>3450</v>
      </c>
    </row>
    <row r="31" spans="1:2" x14ac:dyDescent="0.3">
      <c r="A31" s="17" t="s">
        <v>89</v>
      </c>
      <c r="B31" s="4">
        <v>1600</v>
      </c>
    </row>
    <row r="32" spans="1:2" x14ac:dyDescent="0.3">
      <c r="A32" s="17" t="s">
        <v>76</v>
      </c>
      <c r="B32" s="4">
        <v>1650</v>
      </c>
    </row>
    <row r="33" spans="1:2" x14ac:dyDescent="0.3">
      <c r="A33" s="17" t="s">
        <v>56</v>
      </c>
      <c r="B33" s="4">
        <v>3400</v>
      </c>
    </row>
    <row r="34" spans="1:2" x14ac:dyDescent="0.3">
      <c r="A34" s="17" t="s">
        <v>75</v>
      </c>
      <c r="B34" s="4">
        <v>2200</v>
      </c>
    </row>
    <row r="35" spans="1:2" x14ac:dyDescent="0.3">
      <c r="A35" s="17" t="s">
        <v>91</v>
      </c>
      <c r="B35" s="4">
        <v>1300</v>
      </c>
    </row>
    <row r="36" spans="1:2" x14ac:dyDescent="0.3">
      <c r="A36" s="17" t="s">
        <v>79</v>
      </c>
      <c r="B36" s="4">
        <v>2800</v>
      </c>
    </row>
    <row r="37" spans="1:2" x14ac:dyDescent="0.3">
      <c r="A37" s="17" t="s">
        <v>70</v>
      </c>
      <c r="B37" s="4">
        <v>4100</v>
      </c>
    </row>
    <row r="38" spans="1:2" x14ac:dyDescent="0.3">
      <c r="A38" s="17" t="s">
        <v>61</v>
      </c>
      <c r="B38" s="4">
        <v>1700</v>
      </c>
    </row>
    <row r="39" spans="1:2" x14ac:dyDescent="0.3">
      <c r="A39" s="17" t="s">
        <v>81</v>
      </c>
      <c r="B39" s="4">
        <v>3800</v>
      </c>
    </row>
    <row r="40" spans="1:2" x14ac:dyDescent="0.3">
      <c r="A40" s="17" t="s">
        <v>71</v>
      </c>
      <c r="B40" s="4">
        <v>1650</v>
      </c>
    </row>
    <row r="41" spans="1:2" x14ac:dyDescent="0.3">
      <c r="A41" s="17" t="s">
        <v>60</v>
      </c>
      <c r="B41" s="4">
        <v>3000</v>
      </c>
    </row>
    <row r="42" spans="1:2" x14ac:dyDescent="0.3">
      <c r="A42" s="17" t="s">
        <v>86</v>
      </c>
      <c r="B42" s="4">
        <v>2800</v>
      </c>
    </row>
    <row r="43" spans="1:2" x14ac:dyDescent="0.3">
      <c r="A43" s="17" t="s">
        <v>80</v>
      </c>
      <c r="B43" s="4">
        <v>1900</v>
      </c>
    </row>
    <row r="44" spans="1:2" x14ac:dyDescent="0.3">
      <c r="A44" s="17" t="s">
        <v>149</v>
      </c>
      <c r="B44" s="4">
        <v>95400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Ankit Singh</cp:lastModifiedBy>
  <dcterms:created xsi:type="dcterms:W3CDTF">2026-09-10T14:14:13Z</dcterms:created>
  <dcterms:modified xsi:type="dcterms:W3CDTF">2026-09-10T17:59:35Z</dcterms:modified>
</cp:coreProperties>
</file>